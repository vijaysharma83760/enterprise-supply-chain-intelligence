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runa3\Desktop\SCM_Project\enterprise-supply-chain-intelligence\01_Excel\"/>
    </mc:Choice>
  </mc:AlternateContent>
  <xr:revisionPtr revIDLastSave="0" documentId="13_ncr:1_{AB90E5D3-A45C-44C2-A350-0DA729C59C36}" xr6:coauthVersionLast="47" xr6:coauthVersionMax="47" xr10:uidLastSave="{00000000-0000-0000-0000-000000000000}"/>
  <bookViews>
    <workbookView xWindow="-110" yWindow="-110" windowWidth="19420" windowHeight="10300" xr2:uid="{614FED82-4E23-4F2A-A1DC-0AAEF8A4A9DC}"/>
  </bookViews>
  <sheets>
    <sheet name="Dashboard" sheetId="8" r:id="rId1"/>
    <sheet name="Pivot_Tables" sheetId="11" r:id="rId2"/>
    <sheet name="Products" sheetId="1" r:id="rId3"/>
    <sheet name="Suppliers" sheetId="2" r:id="rId4"/>
    <sheet name="Customers" sheetId="3" r:id="rId5"/>
    <sheet name="Purchase_Orders" sheetId="4" r:id="rId6"/>
    <sheet name="Inventory" sheetId="5" r:id="rId7"/>
    <sheet name="Sales_Orders" sheetId="6" r:id="rId8"/>
    <sheet name="Shipments" sheetId="7" r:id="rId9"/>
    <sheet name="Insights" sheetId="12" r:id="rId10"/>
  </sheets>
  <definedNames>
    <definedName name="Slicer_Inventory_Value">#N/A</definedName>
    <definedName name="Slicer_Product_ID">#N/A</definedName>
    <definedName name="Slicer_Supplier_ID">#N/A</definedName>
  </definedNames>
  <calcPr calcId="191029"/>
  <pivotCaches>
    <pivotCache cacheId="0" r:id="rId11"/>
    <pivotCache cacheId="1" r:id="rId12"/>
    <pivotCache cacheId="2" r:id="rId13"/>
    <pivotCache cacheId="3"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12" l="1"/>
  <c r="B34" i="12"/>
  <c r="B33" i="12"/>
  <c r="B32" i="12"/>
  <c r="B18" i="12"/>
  <c r="B15" i="12"/>
  <c r="B8" i="12"/>
  <c r="B7" i="12"/>
  <c r="B6" i="12"/>
  <c r="B31" i="12"/>
  <c r="B30" i="12"/>
  <c r="B26" i="12"/>
  <c r="B24" i="12"/>
  <c r="H5" i="5"/>
  <c r="H2" i="5"/>
  <c r="B22" i="12"/>
  <c r="B17" i="12"/>
  <c r="B16" i="12"/>
  <c r="B14" i="12"/>
  <c r="B10" i="12"/>
  <c r="B9" i="12"/>
  <c r="B5" i="12"/>
  <c r="M17" i="8"/>
  <c r="I17" i="8"/>
  <c r="J2" i="7"/>
  <c r="J10" i="7"/>
  <c r="J11" i="7"/>
  <c r="J3" i="7"/>
  <c r="J4" i="7"/>
  <c r="J5" i="7"/>
  <c r="J6" i="7"/>
  <c r="J7" i="7"/>
  <c r="J8" i="7"/>
  <c r="J9" i="7"/>
  <c r="A10" i="8"/>
  <c r="I10" i="8"/>
  <c r="H5" i="4"/>
  <c r="G8" i="4"/>
  <c r="E10" i="8"/>
  <c r="E17" i="8"/>
  <c r="A17" i="8"/>
  <c r="M10" i="8"/>
  <c r="G3" i="6"/>
  <c r="G4" i="6"/>
  <c r="G5" i="6"/>
  <c r="G6" i="6"/>
  <c r="G7" i="6"/>
  <c r="G8" i="6"/>
  <c r="G9" i="6"/>
  <c r="G10" i="6"/>
  <c r="G11" i="6"/>
  <c r="G2" i="6"/>
  <c r="F3" i="6"/>
  <c r="F4" i="6"/>
  <c r="F5" i="6"/>
  <c r="F6" i="6"/>
  <c r="F7" i="6"/>
  <c r="F8" i="6"/>
  <c r="F9" i="6"/>
  <c r="F10" i="6"/>
  <c r="F11" i="6"/>
  <c r="F2" i="6"/>
  <c r="H3" i="5"/>
  <c r="H4" i="5"/>
  <c r="H6" i="5"/>
  <c r="H7" i="5"/>
  <c r="H8" i="5"/>
  <c r="H9" i="5"/>
  <c r="H10" i="5"/>
  <c r="G3" i="5"/>
  <c r="G4" i="5"/>
  <c r="G5" i="5"/>
  <c r="G6" i="5"/>
  <c r="G7" i="5"/>
  <c r="G8" i="5"/>
  <c r="G9" i="5"/>
  <c r="G10" i="5"/>
  <c r="G2" i="5"/>
  <c r="F3" i="5"/>
  <c r="F4" i="5"/>
  <c r="F5" i="5"/>
  <c r="F6" i="5"/>
  <c r="F7" i="5"/>
  <c r="F8" i="5"/>
  <c r="F9" i="5"/>
  <c r="F10" i="5"/>
  <c r="F2" i="5"/>
  <c r="H3" i="4"/>
  <c r="H4" i="4"/>
  <c r="H6" i="4"/>
  <c r="H7" i="4"/>
  <c r="H8" i="4"/>
  <c r="H9" i="4"/>
  <c r="H10" i="4"/>
  <c r="H11" i="4"/>
  <c r="H2" i="4"/>
  <c r="G2" i="4"/>
  <c r="G3" i="4"/>
  <c r="G4" i="4"/>
  <c r="G5" i="4"/>
  <c r="G6" i="4"/>
  <c r="G7" i="4"/>
  <c r="G9" i="4"/>
  <c r="G10" i="4"/>
  <c r="G11" i="4"/>
  <c r="F2" i="4"/>
  <c r="F3" i="4"/>
  <c r="F4" i="4"/>
  <c r="F5" i="4"/>
  <c r="F6" i="4"/>
  <c r="F7" i="4"/>
  <c r="F8" i="4"/>
  <c r="F9" i="4"/>
  <c r="F10" i="4"/>
  <c r="F11" i="4"/>
  <c r="B23" i="12" l="1"/>
</calcChain>
</file>

<file path=xl/sharedStrings.xml><?xml version="1.0" encoding="utf-8"?>
<sst xmlns="http://schemas.openxmlformats.org/spreadsheetml/2006/main" count="456" uniqueCount="220">
  <si>
    <t>Category</t>
  </si>
  <si>
    <t>Supplier_ID</t>
  </si>
  <si>
    <t>Safety_Stock</t>
  </si>
  <si>
    <t>Lead_Time</t>
  </si>
  <si>
    <t>Selling_Price</t>
  </si>
  <si>
    <t>Unit_Cost</t>
  </si>
  <si>
    <t>Product_Name</t>
  </si>
  <si>
    <t>Product_ID</t>
  </si>
  <si>
    <t>Reorder_Point</t>
  </si>
  <si>
    <t>P001</t>
  </si>
  <si>
    <t>Laptop</t>
  </si>
  <si>
    <t>Electronics</t>
  </si>
  <si>
    <t>S001</t>
  </si>
  <si>
    <t>P002</t>
  </si>
  <si>
    <t>Smartphone</t>
  </si>
  <si>
    <t>P003</t>
  </si>
  <si>
    <t>Keyboard</t>
  </si>
  <si>
    <t>Accessories</t>
  </si>
  <si>
    <t>S002</t>
  </si>
  <si>
    <t>P004</t>
  </si>
  <si>
    <t>Mouse</t>
  </si>
  <si>
    <t>P005</t>
  </si>
  <si>
    <t>Monitor</t>
  </si>
  <si>
    <t>S003</t>
  </si>
  <si>
    <t>P006</t>
  </si>
  <si>
    <t>Printer</t>
  </si>
  <si>
    <t>Office</t>
  </si>
  <si>
    <t>P007</t>
  </si>
  <si>
    <t>Router</t>
  </si>
  <si>
    <t>Networking</t>
  </si>
  <si>
    <t>S004</t>
  </si>
  <si>
    <t>P008</t>
  </si>
  <si>
    <t>SSD 1TB</t>
  </si>
  <si>
    <t>Storage</t>
  </si>
  <si>
    <t>P009</t>
  </si>
  <si>
    <t>Webcam</t>
  </si>
  <si>
    <t>S005</t>
  </si>
  <si>
    <t>P010</t>
  </si>
  <si>
    <t>Headphones</t>
  </si>
  <si>
    <t>Supplier_Name</t>
  </si>
  <si>
    <t>City</t>
  </si>
  <si>
    <t>Country</t>
  </si>
  <si>
    <t>Lead_Time_Days</t>
  </si>
  <si>
    <t>Rating</t>
  </si>
  <si>
    <t>TechSource Ltd</t>
  </si>
  <si>
    <t>Bengaluru</t>
  </si>
  <si>
    <t>India</t>
  </si>
  <si>
    <t>Accessory Hub</t>
  </si>
  <si>
    <t>Delhi</t>
  </si>
  <si>
    <t>OfficeTech Pvt Ltd</t>
  </si>
  <si>
    <t>Mumbai</t>
  </si>
  <si>
    <t>NetConnect Solutions</t>
  </si>
  <si>
    <t>Hyderabad</t>
  </si>
  <si>
    <t>Digital Devices Co</t>
  </si>
  <si>
    <t>Chennai</t>
  </si>
  <si>
    <t>Customer_ID</t>
  </si>
  <si>
    <t>Customer_Name</t>
  </si>
  <si>
    <t>State</t>
  </si>
  <si>
    <t>Customer_Type</t>
  </si>
  <si>
    <t>C001</t>
  </si>
  <si>
    <t>Reliance Digital</t>
  </si>
  <si>
    <t>Maharashtra</t>
  </si>
  <si>
    <t>Retail</t>
  </si>
  <si>
    <t>C002</t>
  </si>
  <si>
    <t>Croma</t>
  </si>
  <si>
    <t>Karnataka</t>
  </si>
  <si>
    <t>C003</t>
  </si>
  <si>
    <t>Vijay Sales</t>
  </si>
  <si>
    <t>C004</t>
  </si>
  <si>
    <t>Amazon India</t>
  </si>
  <si>
    <t>Telangana</t>
  </si>
  <si>
    <t>E-commerce</t>
  </si>
  <si>
    <t>C005</t>
  </si>
  <si>
    <t>Flipkart</t>
  </si>
  <si>
    <t>C006</t>
  </si>
  <si>
    <t>Tata Cliq</t>
  </si>
  <si>
    <t>C007</t>
  </si>
  <si>
    <t>Poorvika Mobiles</t>
  </si>
  <si>
    <t>Tamil Nadu</t>
  </si>
  <si>
    <t>C008</t>
  </si>
  <si>
    <t>Sangeetha Mobiles</t>
  </si>
  <si>
    <t>C009</t>
  </si>
  <si>
    <t>Lotus Electronics</t>
  </si>
  <si>
    <t>Indore</t>
  </si>
  <si>
    <t>Madhya Pradesh</t>
  </si>
  <si>
    <t>C010</t>
  </si>
  <si>
    <t>Pai International</t>
  </si>
  <si>
    <t>Purchase_Order_ID</t>
  </si>
  <si>
    <t>Order_Date</t>
  </si>
  <si>
    <t>Quantity</t>
  </si>
  <si>
    <t>Total_Cost</t>
  </si>
  <si>
    <t>Expected_Delivery</t>
  </si>
  <si>
    <t>Status</t>
  </si>
  <si>
    <t>PO001</t>
  </si>
  <si>
    <t>Delivered</t>
  </si>
  <si>
    <t>PO002</t>
  </si>
  <si>
    <t>PO003</t>
  </si>
  <si>
    <t>PO004</t>
  </si>
  <si>
    <t>Pending</t>
  </si>
  <si>
    <t>PO005</t>
  </si>
  <si>
    <t>PO006</t>
  </si>
  <si>
    <t>PO007</t>
  </si>
  <si>
    <t>PO008</t>
  </si>
  <si>
    <t>In Transit</t>
  </si>
  <si>
    <t>PO009</t>
  </si>
  <si>
    <t>PO010</t>
  </si>
  <si>
    <t>Inventory_ID</t>
  </si>
  <si>
    <t>Opening_Stock</t>
  </si>
  <si>
    <t>Stock_In</t>
  </si>
  <si>
    <t>Stock_Out</t>
  </si>
  <si>
    <t>INV002</t>
  </si>
  <si>
    <t>INV003</t>
  </si>
  <si>
    <t>INV004</t>
  </si>
  <si>
    <t>INV005</t>
  </si>
  <si>
    <t>INV006</t>
  </si>
  <si>
    <t>INV007</t>
  </si>
  <si>
    <t>INV008</t>
  </si>
  <si>
    <t>INV009</t>
  </si>
  <si>
    <t>INV010</t>
  </si>
  <si>
    <t>Sales_Order_ID</t>
  </si>
  <si>
    <t>Current_Stock</t>
  </si>
  <si>
    <t>Inventory_Value</t>
  </si>
  <si>
    <t>Stock_Status</t>
  </si>
  <si>
    <t>Total_Sales</t>
  </si>
  <si>
    <t>Order_Status</t>
  </si>
  <si>
    <t>SO001</t>
  </si>
  <si>
    <t>SO002</t>
  </si>
  <si>
    <t>SO003</t>
  </si>
  <si>
    <t>SO004</t>
  </si>
  <si>
    <t>SO005</t>
  </si>
  <si>
    <t>SO006</t>
  </si>
  <si>
    <t>SO007</t>
  </si>
  <si>
    <t>Cancelled</t>
  </si>
  <si>
    <t>SO008</t>
  </si>
  <si>
    <t>SO009</t>
  </si>
  <si>
    <t>SO010</t>
  </si>
  <si>
    <t xml:space="preserve"> SUPPLY CHAIN ANALYTICS DASHBOARD</t>
  </si>
  <si>
    <t>Total Purchase Cost</t>
  </si>
  <si>
    <t>Total Sales Revenue</t>
  </si>
  <si>
    <t>Inventory Value</t>
  </si>
  <si>
    <t>Total Products</t>
  </si>
  <si>
    <t>Total Suppliers</t>
  </si>
  <si>
    <t>Row Labels</t>
  </si>
  <si>
    <t>Grand Total</t>
  </si>
  <si>
    <t>In Stock</t>
  </si>
  <si>
    <t>Reorder</t>
  </si>
  <si>
    <t>Inventory Status</t>
  </si>
  <si>
    <t xml:space="preserve"> </t>
  </si>
  <si>
    <t>Purchase Cost by Supplier</t>
  </si>
  <si>
    <t>Top Customers by Sales</t>
  </si>
  <si>
    <t>Interactive Dashboard | Sales | Inventory | Procurement</t>
  </si>
  <si>
    <t>Shipment_ID</t>
  </si>
  <si>
    <t>Ship_Date</t>
  </si>
  <si>
    <t>Delivery_Date</t>
  </si>
  <si>
    <t>Carrier</t>
  </si>
  <si>
    <t>Shipping_Cost</t>
  </si>
  <si>
    <t>Delivery_Status</t>
  </si>
  <si>
    <t>SH001</t>
  </si>
  <si>
    <t>DHL</t>
  </si>
  <si>
    <t>SH002</t>
  </si>
  <si>
    <t>FedEx</t>
  </si>
  <si>
    <t>SH003</t>
  </si>
  <si>
    <t>Blue Dart</t>
  </si>
  <si>
    <t>SH004</t>
  </si>
  <si>
    <t>Delhivery</t>
  </si>
  <si>
    <t>SH005</t>
  </si>
  <si>
    <t>SH006</t>
  </si>
  <si>
    <t>Delayed</t>
  </si>
  <si>
    <t>SH007</t>
  </si>
  <si>
    <t>SH008</t>
  </si>
  <si>
    <t>SH009</t>
  </si>
  <si>
    <t>SH010</t>
  </si>
  <si>
    <r>
      <t>Transit_Days</t>
    </r>
    <r>
      <rPr>
        <sz val="11"/>
        <color theme="1"/>
        <rFont val="Aptos Narrow"/>
        <family val="2"/>
        <scheme val="minor"/>
      </rPr>
      <t>.</t>
    </r>
  </si>
  <si>
    <t>Total Shipping Cost</t>
  </si>
  <si>
    <t>Average Transit Days</t>
  </si>
  <si>
    <t>Count of Shipment_ID</t>
  </si>
  <si>
    <t>Business Area</t>
  </si>
  <si>
    <t>Insight / Observation</t>
  </si>
  <si>
    <t>Highest Selling Product</t>
  </si>
  <si>
    <t>Highest Revenue Product</t>
  </si>
  <si>
    <t>Top Customer by Revenue</t>
  </si>
  <si>
    <t>Total Sales Orders</t>
  </si>
  <si>
    <t>Average Order Value</t>
  </si>
  <si>
    <t>Highest Purchase Supplier</t>
  </si>
  <si>
    <t>Total Purchase Orders</t>
  </si>
  <si>
    <t>Average Supplier Lead Time</t>
  </si>
  <si>
    <t>Best Rated Supplier</t>
  </si>
  <si>
    <t>Total Inventory Value</t>
  </si>
  <si>
    <t>Products Requiring Reorder</t>
  </si>
  <si>
    <t>Products In Stock</t>
  </si>
  <si>
    <t>Highest Inventory Value Product</t>
  </si>
  <si>
    <t>Average Current Stock</t>
  </si>
  <si>
    <t>Delayed Shipments</t>
  </si>
  <si>
    <t>On-Time Deliveries</t>
  </si>
  <si>
    <t>Most Used Carrier</t>
  </si>
  <si>
    <t>Sales</t>
  </si>
  <si>
    <t>Focus marketing efforts on the highest-selling products to maximize revenue.</t>
  </si>
  <si>
    <t>Procurement</t>
  </si>
  <si>
    <t>Strengthen relationships with high-performing suppliers and monitor supplier lead times.</t>
  </si>
  <si>
    <t>Inventory</t>
  </si>
  <si>
    <t>Reorder products below the reorder point to prevent stock shortages.</t>
  </si>
  <si>
    <t>Logistics</t>
  </si>
  <si>
    <t>Reduce delivery delays by monitoring carrier performance and improving shipment planning.</t>
  </si>
  <si>
    <t>Overall</t>
  </si>
  <si>
    <t>Continue tracking KPIs regularly to improve operational efficiency and support data-driven decision-making.</t>
  </si>
  <si>
    <t>SALES INSIGHTS</t>
  </si>
  <si>
    <t>PROCUREMENT INSIGHTS</t>
  </si>
  <si>
    <t>INVENTORY INSIGHTS</t>
  </si>
  <si>
    <t>LOGISTICS INSIGHTS</t>
  </si>
  <si>
    <t>BUSINESS RECOMMENDATIONS</t>
  </si>
  <si>
    <t>Product ID</t>
  </si>
  <si>
    <t>Total Sales Revenue (₹)</t>
  </si>
  <si>
    <t>Supplier ID</t>
  </si>
  <si>
    <t>Total Purchase Cost (₹)</t>
  </si>
  <si>
    <t>Customer ID</t>
  </si>
  <si>
    <t>Sales Revenue (₹)</t>
  </si>
  <si>
    <t>Sum of Transit Days</t>
  </si>
  <si>
    <t>Quantity (Sum)</t>
  </si>
  <si>
    <t>Shipment_ID (Count)</t>
  </si>
  <si>
    <t>Sum of Inventory_Value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</si>
</sst>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Yes&quot;;&quot;Yes&quot;;&quot;No&quot;"/>
    <numFmt numFmtId="165" formatCode="[$₹-439]#,##0"/>
    <numFmt numFmtId="166" formatCode="_ [$₹-439]* #,##0_ ;_ [$₹-439]* \-#,##0_ ;_ [$₹-439]* &quot;-&quot;_ ;_ @_ "/>
    <numFmt numFmtId="167" formatCode="0.0"/>
  </numFmts>
  <fonts count="5">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i/>
      <sz val="11"/>
      <color theme="1"/>
      <name val="Aptos Narrow"/>
      <family val="2"/>
      <scheme val="minor"/>
    </font>
  </fonts>
  <fills count="5">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0"/>
        <bgColor indexed="64"/>
      </patternFill>
    </fill>
  </fills>
  <borders count="7">
    <border>
      <left/>
      <right/>
      <top/>
      <bottom/>
      <diagonal/>
    </border>
    <border>
      <left style="thick">
        <color theme="0"/>
      </left>
      <right/>
      <top style="thick">
        <color theme="0"/>
      </top>
      <bottom/>
      <diagonal/>
    </border>
    <border>
      <left/>
      <right style="thick">
        <color theme="0"/>
      </right>
      <top style="thick">
        <color theme="0"/>
      </top>
      <bottom/>
      <diagonal/>
    </border>
    <border>
      <left style="thick">
        <color theme="0"/>
      </left>
      <right/>
      <top/>
      <bottom/>
      <diagonal/>
    </border>
    <border>
      <left/>
      <right style="thick">
        <color theme="0"/>
      </right>
      <top/>
      <bottom/>
      <diagonal/>
    </border>
    <border>
      <left style="thick">
        <color theme="0"/>
      </left>
      <right/>
      <top/>
      <bottom style="thick">
        <color theme="0"/>
      </bottom>
      <diagonal/>
    </border>
    <border>
      <left/>
      <right style="thick">
        <color theme="0"/>
      </right>
      <top/>
      <bottom style="thick">
        <color theme="0"/>
      </bottom>
      <diagonal/>
    </border>
  </borders>
  <cellStyleXfs count="1">
    <xf numFmtId="0" fontId="0" fillId="0" borderId="0"/>
  </cellStyleXfs>
  <cellXfs count="28">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4" fontId="0" fillId="0" borderId="0" xfId="0" applyNumberFormat="1" applyAlignment="1">
      <alignment vertical="center" wrapText="1"/>
    </xf>
    <xf numFmtId="14" fontId="0" fillId="0" borderId="0" xfId="0" applyNumberFormat="1"/>
    <xf numFmtId="0" fontId="0" fillId="0" borderId="0" xfId="0" applyAlignment="1">
      <alignment horizontal="center"/>
    </xf>
    <xf numFmtId="0" fontId="0" fillId="4" borderId="0" xfId="0" applyFill="1" applyAlignment="1">
      <alignment horizontal="center" vertical="center"/>
    </xf>
    <xf numFmtId="0" fontId="0" fillId="4" borderId="0" xfId="0" applyFill="1" applyAlignment="1">
      <alignment vertical="center"/>
    </xf>
    <xf numFmtId="0" fontId="0" fillId="0" borderId="0" xfId="0" pivotButton="1"/>
    <xf numFmtId="0" fontId="0" fillId="0" borderId="0" xfId="0" applyAlignment="1">
      <alignment horizontal="left"/>
    </xf>
    <xf numFmtId="165" fontId="0" fillId="0" borderId="0" xfId="0" applyNumberFormat="1"/>
    <xf numFmtId="0" fontId="1" fillId="0" borderId="0" xfId="0" applyFont="1"/>
    <xf numFmtId="0" fontId="4" fillId="0" borderId="0" xfId="0" applyFont="1" applyAlignment="1">
      <alignment vertical="center" wrapText="1"/>
    </xf>
    <xf numFmtId="167" fontId="0" fillId="0" borderId="0" xfId="0" applyNumberFormat="1" applyAlignment="1">
      <alignment vertical="center" wrapText="1"/>
    </xf>
    <xf numFmtId="0" fontId="1" fillId="0" borderId="0" xfId="0" applyFont="1" applyAlignment="1">
      <alignment horizontal="center" vertical="center" wrapText="1"/>
    </xf>
    <xf numFmtId="0" fontId="1" fillId="3" borderId="0" xfId="0" applyFont="1" applyFill="1" applyAlignment="1">
      <alignment horizontal="center" vertical="center"/>
    </xf>
    <xf numFmtId="166" fontId="1" fillId="3" borderId="5" xfId="0" applyNumberFormat="1" applyFont="1" applyFill="1" applyBorder="1" applyAlignment="1">
      <alignment horizontal="center" vertical="center"/>
    </xf>
    <xf numFmtId="166" fontId="1" fillId="3" borderId="6" xfId="0" applyNumberFormat="1" applyFont="1" applyFill="1" applyBorder="1" applyAlignment="1">
      <alignment horizontal="center" vertical="center"/>
    </xf>
    <xf numFmtId="0" fontId="3" fillId="2" borderId="0" xfId="0" applyFont="1" applyFill="1" applyAlignment="1">
      <alignment horizontal="center"/>
    </xf>
    <xf numFmtId="0" fontId="2" fillId="2" borderId="0" xfId="0" applyFont="1" applyFill="1" applyAlignment="1">
      <alignment horizontal="center"/>
    </xf>
    <xf numFmtId="166" fontId="1" fillId="3" borderId="5" xfId="0" applyNumberFormat="1" applyFont="1" applyFill="1" applyBorder="1" applyAlignment="1">
      <alignment horizontal="right"/>
    </xf>
    <xf numFmtId="166" fontId="1" fillId="3" borderId="6" xfId="0" applyNumberFormat="1" applyFont="1" applyFill="1" applyBorder="1" applyAlignment="1">
      <alignment horizontal="right"/>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cellXfs>
  <cellStyles count="1">
    <cellStyle name="Normal" xfId="0" builtinId="0"/>
  </cellStyles>
  <dxfs count="59">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numFmt numFmtId="19" formatCode="m/d/yyyy"/>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
      <numFmt numFmtId="165" formatCode="[$₹-439]#,##0"/>
    </dxf>
    <dxf>
      <numFmt numFmtId="165" formatCode="[$₹-43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[Supply_Chain_Data..xlsx]Pivot_Tables!PivotTable2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solidFill>
              <a:schemeClr val="accent1"/>
            </a:solidFill>
            <a:ln>
              <a:noFill/>
            </a:ln>
            <a:effectLst/>
          </c:spPr>
          <c:invertIfNegative val="0"/>
          <c:cat>
            <c:strRef>
              <c:f>Pivot_Tables!$A$4:$A$14</c:f>
              <c:strCache>
                <c:ptCount val="10"/>
                <c:pt idx="0">
                  <c:v>P001</c:v>
                </c:pt>
                <c:pt idx="1">
                  <c:v>P002</c:v>
                </c:pt>
                <c:pt idx="2">
                  <c:v>P005</c:v>
                </c:pt>
                <c:pt idx="3">
                  <c:v>P006</c:v>
                </c:pt>
                <c:pt idx="4">
                  <c:v>P008</c:v>
                </c:pt>
                <c:pt idx="5">
                  <c:v>P007</c:v>
                </c:pt>
                <c:pt idx="6">
                  <c:v>P009</c:v>
                </c:pt>
                <c:pt idx="7">
                  <c:v>P010</c:v>
                </c:pt>
                <c:pt idx="8">
                  <c:v>P003</c:v>
                </c:pt>
                <c:pt idx="9">
                  <c:v>P004</c:v>
                </c:pt>
              </c:strCache>
            </c:strRef>
          </c:cat>
          <c:val>
            <c:numRef>
              <c:f>Pivot_Tables!$B$4:$B$14</c:f>
              <c:numCache>
                <c:formatCode>[$₹-439]#,##0</c:formatCode>
                <c:ptCount val="10"/>
                <c:pt idx="0">
                  <c:v>275000</c:v>
                </c:pt>
                <c:pt idx="1">
                  <c:v>250000</c:v>
                </c:pt>
                <c:pt idx="2">
                  <c:v>78000</c:v>
                </c:pt>
                <c:pt idx="3">
                  <c:v>76000</c:v>
                </c:pt>
                <c:pt idx="4">
                  <c:v>58500</c:v>
                </c:pt>
                <c:pt idx="5">
                  <c:v>50400</c:v>
                </c:pt>
                <c:pt idx="6">
                  <c:v>44000</c:v>
                </c:pt>
                <c:pt idx="7">
                  <c:v>42000</c:v>
                </c:pt>
                <c:pt idx="8">
                  <c:v>30000</c:v>
                </c:pt>
                <c:pt idx="9">
                  <c:v>24000</c:v>
                </c:pt>
              </c:numCache>
            </c:numRef>
          </c:val>
          <c:extLst>
            <c:ext xmlns:c16="http://schemas.microsoft.com/office/drawing/2014/chart" uri="{C3380CC4-5D6E-409C-BE32-E72D297353CC}">
              <c16:uniqueId val="{00000000-9D97-46FB-86ED-80F73D0DB579}"/>
            </c:ext>
          </c:extLst>
        </c:ser>
        <c:dLbls>
          <c:showLegendKey val="0"/>
          <c:showVal val="0"/>
          <c:showCatName val="0"/>
          <c:showSerName val="0"/>
          <c:showPercent val="0"/>
          <c:showBubbleSize val="0"/>
        </c:dLbls>
        <c:gapWidth val="219"/>
        <c:overlap val="-27"/>
        <c:axId val="1444934719"/>
        <c:axId val="1324123887"/>
      </c:barChart>
      <c:catAx>
        <c:axId val="144493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123887"/>
        <c:crosses val="autoZero"/>
        <c:auto val="1"/>
        <c:lblAlgn val="ctr"/>
        <c:lblOffset val="100"/>
        <c:noMultiLvlLbl val="0"/>
      </c:catAx>
      <c:valAx>
        <c:axId val="1324123887"/>
        <c:scaling>
          <c:orientation val="minMax"/>
        </c:scaling>
        <c:delete val="0"/>
        <c:axPos val="l"/>
        <c:majorGridlines>
          <c:spPr>
            <a:ln w="9525" cap="flat" cmpd="sng" algn="ctr">
              <a:solidFill>
                <a:schemeClr val="tx1">
                  <a:lumMod val="15000"/>
                  <a:lumOff val="85000"/>
                </a:schemeClr>
              </a:solidFill>
              <a:round/>
            </a:ln>
            <a:effectLst/>
          </c:spPr>
        </c:majorGridlines>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93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[Supply_Chain_Data..xlsx]Pivot_Tables!PivotTable4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Total Purchase Cost</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Pivot_Tables!$F$3</c:f>
              <c:strCache>
                <c:ptCount val="1"/>
                <c:pt idx="0">
                  <c:v>Total</c:v>
                </c:pt>
              </c:strCache>
            </c:strRef>
          </c:tx>
          <c:spPr>
            <a:solidFill>
              <a:schemeClr val="accent1"/>
            </a:solidFill>
            <a:ln>
              <a:noFill/>
            </a:ln>
            <a:effectLst/>
          </c:spPr>
          <c:invertIfNegative val="0"/>
          <c:cat>
            <c:strRef>
              <c:f>Pivot_Tables!$E$4:$E$9</c:f>
              <c:strCache>
                <c:ptCount val="5"/>
                <c:pt idx="0">
                  <c:v>S001</c:v>
                </c:pt>
                <c:pt idx="1">
                  <c:v>S003</c:v>
                </c:pt>
                <c:pt idx="2">
                  <c:v>S004</c:v>
                </c:pt>
                <c:pt idx="3">
                  <c:v>S005</c:v>
                </c:pt>
                <c:pt idx="4">
                  <c:v>S002</c:v>
                </c:pt>
              </c:strCache>
            </c:strRef>
          </c:cat>
          <c:val>
            <c:numRef>
              <c:f>Pivot_Tables!$F$4:$F$9</c:f>
              <c:numCache>
                <c:formatCode>[$₹-439]#,##0</c:formatCode>
                <c:ptCount val="5"/>
                <c:pt idx="0">
                  <c:v>1530000</c:v>
                </c:pt>
                <c:pt idx="1">
                  <c:v>351000</c:v>
                </c:pt>
                <c:pt idx="2">
                  <c:v>226000</c:v>
                </c:pt>
                <c:pt idx="3">
                  <c:v>139500</c:v>
                </c:pt>
                <c:pt idx="4">
                  <c:v>112500</c:v>
                </c:pt>
              </c:numCache>
            </c:numRef>
          </c:val>
          <c:extLst>
            <c:ext xmlns:c16="http://schemas.microsoft.com/office/drawing/2014/chart" uri="{C3380CC4-5D6E-409C-BE32-E72D297353CC}">
              <c16:uniqueId val="{00000000-4BE4-41BA-A092-1B8E969DC783}"/>
            </c:ext>
          </c:extLst>
        </c:ser>
        <c:dLbls>
          <c:showLegendKey val="0"/>
          <c:showVal val="0"/>
          <c:showCatName val="0"/>
          <c:showSerName val="0"/>
          <c:showPercent val="0"/>
          <c:showBubbleSize val="0"/>
        </c:dLbls>
        <c:gapWidth val="219"/>
        <c:overlap val="-27"/>
        <c:axId val="1470982735"/>
        <c:axId val="1324100367"/>
      </c:barChart>
      <c:catAx>
        <c:axId val="147098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100367"/>
        <c:crosses val="autoZero"/>
        <c:auto val="1"/>
        <c:lblAlgn val="ctr"/>
        <c:lblOffset val="100"/>
        <c:noMultiLvlLbl val="0"/>
      </c:catAx>
      <c:valAx>
        <c:axId val="1324100367"/>
        <c:scaling>
          <c:orientation val="minMax"/>
        </c:scaling>
        <c:delete val="0"/>
        <c:axPos val="l"/>
        <c:majorGridlines>
          <c:spPr>
            <a:ln w="9525" cap="flat" cmpd="sng" algn="ctr">
              <a:solidFill>
                <a:schemeClr val="tx1">
                  <a:lumMod val="15000"/>
                  <a:lumOff val="85000"/>
                </a:schemeClr>
              </a:solidFill>
              <a:round/>
            </a:ln>
            <a:effectLst/>
          </c:spPr>
        </c:majorGridlines>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98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[Supply_Chain_Data..xlsx]Pivot_Tables!PivotTable5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Pivot_Tables!$J$3</c:f>
              <c:strCache>
                <c:ptCount val="1"/>
                <c:pt idx="0">
                  <c:v>Total</c:v>
                </c:pt>
              </c:strCache>
            </c:strRef>
          </c:tx>
          <c:spPr>
            <a:solidFill>
              <a:schemeClr val="accent1"/>
            </a:solidFill>
            <a:ln>
              <a:noFill/>
            </a:ln>
            <a:effectLst/>
          </c:spPr>
          <c:invertIfNegative val="0"/>
          <c:cat>
            <c:strRef>
              <c:f>Pivot_Tables!$I$4:$I$6</c:f>
              <c:strCache>
                <c:ptCount val="2"/>
                <c:pt idx="0">
                  <c:v>In Stock</c:v>
                </c:pt>
                <c:pt idx="1">
                  <c:v>Reorder</c:v>
                </c:pt>
              </c:strCache>
            </c:strRef>
          </c:cat>
          <c:val>
            <c:numRef>
              <c:f>Pivot_Tables!$J$4:$J$6</c:f>
              <c:numCache>
                <c:formatCode>General</c:formatCode>
                <c:ptCount val="2"/>
                <c:pt idx="0">
                  <c:v>8</c:v>
                </c:pt>
                <c:pt idx="1">
                  <c:v>1</c:v>
                </c:pt>
              </c:numCache>
            </c:numRef>
          </c:val>
          <c:extLst>
            <c:ext xmlns:c16="http://schemas.microsoft.com/office/drawing/2014/chart" uri="{C3380CC4-5D6E-409C-BE32-E72D297353CC}">
              <c16:uniqueId val="{00000000-3792-47F0-935E-996186F63CB0}"/>
            </c:ext>
          </c:extLst>
        </c:ser>
        <c:dLbls>
          <c:showLegendKey val="0"/>
          <c:showVal val="0"/>
          <c:showCatName val="0"/>
          <c:showSerName val="0"/>
          <c:showPercent val="0"/>
          <c:showBubbleSize val="0"/>
        </c:dLbls>
        <c:gapWidth val="219"/>
        <c:overlap val="-27"/>
        <c:axId val="1464552495"/>
        <c:axId val="1324136847"/>
      </c:barChart>
      <c:catAx>
        <c:axId val="146455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136847"/>
        <c:crosses val="autoZero"/>
        <c:auto val="1"/>
        <c:lblAlgn val="ctr"/>
        <c:lblOffset val="100"/>
        <c:noMultiLvlLbl val="0"/>
      </c:catAx>
      <c:valAx>
        <c:axId val="132413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55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[Supply_Chain_Data..xlsx]Pivot_Tables!PivotTable6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Pivot_Tables!$N$3</c:f>
              <c:strCache>
                <c:ptCount val="1"/>
                <c:pt idx="0">
                  <c:v>Total</c:v>
                </c:pt>
              </c:strCache>
            </c:strRef>
          </c:tx>
          <c:spPr>
            <a:solidFill>
              <a:schemeClr val="accent1"/>
            </a:solidFill>
            <a:ln>
              <a:noFill/>
            </a:ln>
            <a:effectLst/>
          </c:spPr>
          <c:invertIfNegative val="0"/>
          <c:cat>
            <c:strRef>
              <c:f>Pivot_Tables!$M$4:$M$14</c:f>
              <c:strCache>
                <c:ptCount val="10"/>
                <c:pt idx="0">
                  <c:v>C001</c:v>
                </c:pt>
                <c:pt idx="1">
                  <c:v>C002</c:v>
                </c:pt>
                <c:pt idx="2">
                  <c:v>C005</c:v>
                </c:pt>
                <c:pt idx="3">
                  <c:v>C006</c:v>
                </c:pt>
                <c:pt idx="4">
                  <c:v>C008</c:v>
                </c:pt>
                <c:pt idx="5">
                  <c:v>C007</c:v>
                </c:pt>
                <c:pt idx="6">
                  <c:v>C009</c:v>
                </c:pt>
                <c:pt idx="7">
                  <c:v>C010</c:v>
                </c:pt>
                <c:pt idx="8">
                  <c:v>C003</c:v>
                </c:pt>
                <c:pt idx="9">
                  <c:v>C004</c:v>
                </c:pt>
              </c:strCache>
            </c:strRef>
          </c:cat>
          <c:val>
            <c:numRef>
              <c:f>Pivot_Tables!$N$4:$N$14</c:f>
              <c:numCache>
                <c:formatCode>General</c:formatCode>
                <c:ptCount val="10"/>
                <c:pt idx="0">
                  <c:v>275000</c:v>
                </c:pt>
                <c:pt idx="1">
                  <c:v>250000</c:v>
                </c:pt>
                <c:pt idx="2">
                  <c:v>78000</c:v>
                </c:pt>
                <c:pt idx="3">
                  <c:v>76000</c:v>
                </c:pt>
                <c:pt idx="4">
                  <c:v>58500</c:v>
                </c:pt>
                <c:pt idx="5">
                  <c:v>50400</c:v>
                </c:pt>
                <c:pt idx="6">
                  <c:v>44000</c:v>
                </c:pt>
                <c:pt idx="7">
                  <c:v>42000</c:v>
                </c:pt>
                <c:pt idx="8">
                  <c:v>30000</c:v>
                </c:pt>
                <c:pt idx="9">
                  <c:v>24000</c:v>
                </c:pt>
              </c:numCache>
            </c:numRef>
          </c:val>
          <c:extLst>
            <c:ext xmlns:c16="http://schemas.microsoft.com/office/drawing/2014/chart" uri="{C3380CC4-5D6E-409C-BE32-E72D297353CC}">
              <c16:uniqueId val="{00000000-C9B0-48A2-941F-C7F96A218438}"/>
            </c:ext>
          </c:extLst>
        </c:ser>
        <c:dLbls>
          <c:showLegendKey val="0"/>
          <c:showVal val="0"/>
          <c:showCatName val="0"/>
          <c:showSerName val="0"/>
          <c:showPercent val="0"/>
          <c:showBubbleSize val="0"/>
        </c:dLbls>
        <c:gapWidth val="219"/>
        <c:overlap val="-27"/>
        <c:axId val="1464542751"/>
        <c:axId val="1324155087"/>
      </c:barChart>
      <c:catAx>
        <c:axId val="146454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155087"/>
        <c:crosses val="autoZero"/>
        <c:auto val="1"/>
        <c:lblAlgn val="ctr"/>
        <c:lblOffset val="100"/>
        <c:noMultiLvlLbl val="0"/>
      </c:catAx>
      <c:valAx>
        <c:axId val="132415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54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[Supply_Chain_Data..xlsx]Pivot_Tables!PivotTable7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Shipments by Delivery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Pivot_Tables!$B$17</c:f>
              <c:strCache>
                <c:ptCount val="1"/>
                <c:pt idx="0">
                  <c:v>Total</c:v>
                </c:pt>
              </c:strCache>
            </c:strRef>
          </c:tx>
          <c:spPr>
            <a:solidFill>
              <a:schemeClr val="accent1"/>
            </a:solidFill>
            <a:ln>
              <a:noFill/>
            </a:ln>
            <a:effectLst/>
          </c:spPr>
          <c:invertIfNegative val="0"/>
          <c:cat>
            <c:strRef>
              <c:f>Pivot_Tables!$A$18:$A$21</c:f>
              <c:strCache>
                <c:ptCount val="3"/>
                <c:pt idx="0">
                  <c:v>Delayed</c:v>
                </c:pt>
                <c:pt idx="1">
                  <c:v>Delivered</c:v>
                </c:pt>
                <c:pt idx="2">
                  <c:v>In Transit</c:v>
                </c:pt>
              </c:strCache>
            </c:strRef>
          </c:cat>
          <c:val>
            <c:numRef>
              <c:f>Pivot_Tables!$B$18:$B$21</c:f>
              <c:numCache>
                <c:formatCode>General</c:formatCode>
                <c:ptCount val="3"/>
                <c:pt idx="0">
                  <c:v>1</c:v>
                </c:pt>
                <c:pt idx="1">
                  <c:v>7</c:v>
                </c:pt>
                <c:pt idx="2">
                  <c:v>2</c:v>
                </c:pt>
              </c:numCache>
            </c:numRef>
          </c:val>
          <c:extLst>
            <c:ext xmlns:c16="http://schemas.microsoft.com/office/drawing/2014/chart" uri="{C3380CC4-5D6E-409C-BE32-E72D297353CC}">
              <c16:uniqueId val="{00000000-266D-4C48-A7D0-7E9D71FCDC67}"/>
            </c:ext>
          </c:extLst>
        </c:ser>
        <c:dLbls>
          <c:showLegendKey val="0"/>
          <c:showVal val="0"/>
          <c:showCatName val="0"/>
          <c:showSerName val="0"/>
          <c:showPercent val="0"/>
          <c:showBubbleSize val="0"/>
        </c:dLbls>
        <c:gapWidth val="219"/>
        <c:overlap val="-27"/>
        <c:axId val="1498383920"/>
        <c:axId val="1324130607"/>
      </c:barChart>
      <c:catAx>
        <c:axId val="149838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130607"/>
        <c:crosses val="autoZero"/>
        <c:auto val="1"/>
        <c:lblAlgn val="ctr"/>
        <c:lblOffset val="100"/>
        <c:noMultiLvlLbl val="0"/>
      </c:catAx>
      <c:valAx>
        <c:axId val="1324130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38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[Supply_Chain_Data..xlsx]Pivot_Tables!PivotTable8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Transit Days by Carrier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Pivot_Tables!$F$17</c:f>
              <c:strCache>
                <c:ptCount val="1"/>
                <c:pt idx="0">
                  <c:v>Total</c:v>
                </c:pt>
              </c:strCache>
            </c:strRef>
          </c:tx>
          <c:spPr>
            <a:solidFill>
              <a:schemeClr val="accent1"/>
            </a:solidFill>
            <a:ln>
              <a:noFill/>
            </a:ln>
            <a:effectLst/>
          </c:spPr>
          <c:invertIfNegative val="0"/>
          <c:cat>
            <c:strRef>
              <c:f>Pivot_Tables!$E$18:$E$22</c:f>
              <c:strCache>
                <c:ptCount val="4"/>
                <c:pt idx="0">
                  <c:v>FedEx</c:v>
                </c:pt>
                <c:pt idx="1">
                  <c:v>DHL</c:v>
                </c:pt>
                <c:pt idx="2">
                  <c:v>Delhivery</c:v>
                </c:pt>
                <c:pt idx="3">
                  <c:v>Blue Dart</c:v>
                </c:pt>
              </c:strCache>
            </c:strRef>
          </c:cat>
          <c:val>
            <c:numRef>
              <c:f>Pivot_Tables!$F$18:$F$22</c:f>
              <c:numCache>
                <c:formatCode>General</c:formatCode>
                <c:ptCount val="4"/>
                <c:pt idx="0">
                  <c:v>12</c:v>
                </c:pt>
                <c:pt idx="1">
                  <c:v>9</c:v>
                </c:pt>
                <c:pt idx="2">
                  <c:v>7</c:v>
                </c:pt>
                <c:pt idx="3">
                  <c:v>4</c:v>
                </c:pt>
              </c:numCache>
            </c:numRef>
          </c:val>
          <c:extLst>
            <c:ext xmlns:c16="http://schemas.microsoft.com/office/drawing/2014/chart" uri="{C3380CC4-5D6E-409C-BE32-E72D297353CC}">
              <c16:uniqueId val="{00000000-5FB9-42E7-B846-064F4F345289}"/>
            </c:ext>
          </c:extLst>
        </c:ser>
        <c:dLbls>
          <c:showLegendKey val="0"/>
          <c:showVal val="0"/>
          <c:showCatName val="0"/>
          <c:showSerName val="0"/>
          <c:showPercent val="0"/>
          <c:showBubbleSize val="0"/>
        </c:dLbls>
        <c:gapWidth val="219"/>
        <c:overlap val="-27"/>
        <c:axId val="1495505904"/>
        <c:axId val="1324146927"/>
      </c:barChart>
      <c:catAx>
        <c:axId val="149550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146927"/>
        <c:crosses val="autoZero"/>
        <c:auto val="1"/>
        <c:lblAlgn val="ctr"/>
        <c:lblOffset val="100"/>
        <c:noMultiLvlLbl val="0"/>
      </c:catAx>
      <c:valAx>
        <c:axId val="132414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50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19</xdr:row>
      <xdr:rowOff>15085</xdr:rowOff>
    </xdr:from>
    <xdr:to>
      <xdr:col>7</xdr:col>
      <xdr:colOff>81643</xdr:colOff>
      <xdr:row>35</xdr:row>
      <xdr:rowOff>42931</xdr:rowOff>
    </xdr:to>
    <xdr:graphicFrame macro="">
      <xdr:nvGraphicFramePr>
        <xdr:cNvPr id="2" name="Chart 1">
          <a:extLst>
            <a:ext uri="{FF2B5EF4-FFF2-40B4-BE49-F238E27FC236}">
              <a16:creationId xmlns:a16="http://schemas.microsoft.com/office/drawing/2014/main" id="{DA4A432A-DB62-47BE-AE63-659BE4CC3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408215</xdr:colOff>
      <xdr:row>19</xdr:row>
      <xdr:rowOff>4867</xdr:rowOff>
    </xdr:from>
    <xdr:to>
      <xdr:col>14</xdr:col>
      <xdr:colOff>206375</xdr:colOff>
      <xdr:row>35</xdr:row>
      <xdr:rowOff>4867</xdr:rowOff>
    </xdr:to>
    <xdr:graphicFrame macro="">
      <xdr:nvGraphicFramePr>
        <xdr:cNvPr id="3" name="Chart 2">
          <a:extLst>
            <a:ext uri="{FF2B5EF4-FFF2-40B4-BE49-F238E27FC236}">
              <a16:creationId xmlns:a16="http://schemas.microsoft.com/office/drawing/2014/main" id="{0C851ABF-306D-40E8-B3B5-10521B429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37</xdr:row>
      <xdr:rowOff>10234</xdr:rowOff>
    </xdr:from>
    <xdr:to>
      <xdr:col>7</xdr:col>
      <xdr:colOff>54429</xdr:colOff>
      <xdr:row>50</xdr:row>
      <xdr:rowOff>117929</xdr:rowOff>
    </xdr:to>
    <xdr:graphicFrame macro="">
      <xdr:nvGraphicFramePr>
        <xdr:cNvPr id="4" name="Chart 3">
          <a:extLst>
            <a:ext uri="{FF2B5EF4-FFF2-40B4-BE49-F238E27FC236}">
              <a16:creationId xmlns:a16="http://schemas.microsoft.com/office/drawing/2014/main" id="{81607145-FB24-4E60-9947-C16034456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435429</xdr:colOff>
      <xdr:row>36</xdr:row>
      <xdr:rowOff>93203</xdr:rowOff>
    </xdr:from>
    <xdr:to>
      <xdr:col>14</xdr:col>
      <xdr:colOff>181835</xdr:colOff>
      <xdr:row>50</xdr:row>
      <xdr:rowOff>117928</xdr:rowOff>
    </xdr:to>
    <xdr:graphicFrame macro="">
      <xdr:nvGraphicFramePr>
        <xdr:cNvPr id="5" name="Chart 4">
          <a:extLst>
            <a:ext uri="{FF2B5EF4-FFF2-40B4-BE49-F238E27FC236}">
              <a16:creationId xmlns:a16="http://schemas.microsoft.com/office/drawing/2014/main" id="{20FBF7E7-FE1D-4B6D-97E6-90A1D681E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78581</xdr:colOff>
      <xdr:row>71</xdr:row>
      <xdr:rowOff>101322</xdr:rowOff>
    </xdr:from>
    <xdr:to>
      <xdr:col>2</xdr:col>
      <xdr:colOff>297694</xdr:colOff>
      <xdr:row>86</xdr:row>
      <xdr:rowOff>19449</xdr:rowOff>
    </xdr:to>
    <mc:AlternateContent xmlns:mc="http://schemas.openxmlformats.org/markup-compatibility/2006" xmlns:a14="http://schemas.microsoft.com/office/drawing/2010/main">
      <mc:Choice Requires="a14">
        <xdr:graphicFrame macro="">
          <xdr:nvGraphicFramePr>
            <xdr:cNvPr id="6" name="Supplier_ID">
              <a:extLst>
                <a:ext uri="{FF2B5EF4-FFF2-40B4-BE49-F238E27FC236}">
                  <a16:creationId xmlns:a16="http://schemas.microsoft.com/office/drawing/2014/main" id="{DB98F9A9-9FAC-4A4C-BB05-C597283C0CE1}"/>
                </a:ext>
              </a:extLst>
            </xdr:cNvPr>
            <xdr:cNvGraphicFramePr/>
          </xdr:nvGraphicFramePr>
          <xdr:xfrm>
            <a:off x="0" y="0"/>
            <a:ext cx="0" cy="0"/>
          </xdr:xfrm>
          <a:graphic>
            <a:graphicData uri="http://schemas.microsoft.com/office/drawing/2010/slicer">
              <sle:slicer xmlns:sle="http://schemas.microsoft.com/office/drawing/2010/slicer" name="Supplier_ID"/>
            </a:graphicData>
          </a:graphic>
        </xdr:graphicFrame>
      </mc:Choice>
      <mc:Fallback xmlns="">
        <xdr:sp macro="" textlink="">
          <xdr:nvSpPr>
            <xdr:cNvPr id="0" name=""/>
            <xdr:cNvSpPr>
              <a:spLocks noTextEdit="1"/>
            </xdr:cNvSpPr>
          </xdr:nvSpPr>
          <xdr:spPr>
            <a:xfrm>
              <a:off x="78581" y="13626822"/>
              <a:ext cx="1848946" cy="27756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297590</xdr:colOff>
      <xdr:row>71</xdr:row>
      <xdr:rowOff>97032</xdr:rowOff>
    </xdr:from>
    <xdr:to>
      <xdr:col>9</xdr:col>
      <xdr:colOff>302762</xdr:colOff>
      <xdr:row>86</xdr:row>
      <xdr:rowOff>25194</xdr:rowOff>
    </xdr:to>
    <mc:AlternateContent xmlns:mc="http://schemas.openxmlformats.org/markup-compatibility/2006" xmlns:a14="http://schemas.microsoft.com/office/drawing/2010/main">
      <mc:Choice Requires="a14">
        <xdr:graphicFrame macro="">
          <xdr:nvGraphicFramePr>
            <xdr:cNvPr id="7" name="Inventory_Value">
              <a:extLst>
                <a:ext uri="{FF2B5EF4-FFF2-40B4-BE49-F238E27FC236}">
                  <a16:creationId xmlns:a16="http://schemas.microsoft.com/office/drawing/2014/main" id="{DE600CE9-17A2-46AE-84AF-2A1DC246B62F}"/>
                </a:ext>
              </a:extLst>
            </xdr:cNvPr>
            <xdr:cNvGraphicFramePr/>
          </xdr:nvGraphicFramePr>
          <xdr:xfrm>
            <a:off x="0" y="0"/>
            <a:ext cx="0" cy="0"/>
          </xdr:xfrm>
          <a:graphic>
            <a:graphicData uri="http://schemas.microsoft.com/office/drawing/2010/slicer">
              <sle:slicer xmlns:sle="http://schemas.microsoft.com/office/drawing/2010/slicer" name="Inventory_Value"/>
            </a:graphicData>
          </a:graphic>
        </xdr:graphicFrame>
      </mc:Choice>
      <mc:Fallback xmlns="">
        <xdr:sp macro="" textlink="">
          <xdr:nvSpPr>
            <xdr:cNvPr id="0" name=""/>
            <xdr:cNvSpPr>
              <a:spLocks noTextEdit="1"/>
            </xdr:cNvSpPr>
          </xdr:nvSpPr>
          <xdr:spPr>
            <a:xfrm>
              <a:off x="4954257" y="13622532"/>
              <a:ext cx="1846672" cy="2785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334997</xdr:colOff>
      <xdr:row>71</xdr:row>
      <xdr:rowOff>89839</xdr:rowOff>
    </xdr:from>
    <xdr:to>
      <xdr:col>5</xdr:col>
      <xdr:colOff>946283</xdr:colOff>
      <xdr:row>86</xdr:row>
      <xdr:rowOff>1710</xdr:rowOff>
    </xdr:to>
    <mc:AlternateContent xmlns:mc="http://schemas.openxmlformats.org/markup-compatibility/2006" xmlns:a14="http://schemas.microsoft.com/office/drawing/2010/main">
      <mc:Choice Requires="a14">
        <xdr:graphicFrame macro="">
          <xdr:nvGraphicFramePr>
            <xdr:cNvPr id="8" name="Product_ID">
              <a:extLst>
                <a:ext uri="{FF2B5EF4-FFF2-40B4-BE49-F238E27FC236}">
                  <a16:creationId xmlns:a16="http://schemas.microsoft.com/office/drawing/2014/main" id="{AD8CACBE-C019-449B-8E71-C7BA8035A3CD}"/>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mlns="">
        <xdr:sp macro="" textlink="">
          <xdr:nvSpPr>
            <xdr:cNvPr id="0" name=""/>
            <xdr:cNvSpPr>
              <a:spLocks noTextEdit="1"/>
            </xdr:cNvSpPr>
          </xdr:nvSpPr>
          <xdr:spPr>
            <a:xfrm>
              <a:off x="2578664" y="13615339"/>
              <a:ext cx="1838952" cy="27693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52</xdr:row>
      <xdr:rowOff>188514</xdr:rowOff>
    </xdr:from>
    <xdr:to>
      <xdr:col>7</xdr:col>
      <xdr:colOff>29766</xdr:colOff>
      <xdr:row>67</xdr:row>
      <xdr:rowOff>178593</xdr:rowOff>
    </xdr:to>
    <xdr:graphicFrame macro="">
      <xdr:nvGraphicFramePr>
        <xdr:cNvPr id="9" name="Chart 8">
          <a:extLst>
            <a:ext uri="{FF2B5EF4-FFF2-40B4-BE49-F238E27FC236}">
              <a16:creationId xmlns:a16="http://schemas.microsoft.com/office/drawing/2014/main" id="{D8063F48-CB20-4700-81A1-F2998DB60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386952</xdr:colOff>
      <xdr:row>53</xdr:row>
      <xdr:rowOff>0</xdr:rowOff>
    </xdr:from>
    <xdr:to>
      <xdr:col>14</xdr:col>
      <xdr:colOff>208358</xdr:colOff>
      <xdr:row>68</xdr:row>
      <xdr:rowOff>49609</xdr:rowOff>
    </xdr:to>
    <xdr:graphicFrame macro="">
      <xdr:nvGraphicFramePr>
        <xdr:cNvPr id="10" name="Chart 9">
          <a:extLst>
            <a:ext uri="{FF2B5EF4-FFF2-40B4-BE49-F238E27FC236}">
              <a16:creationId xmlns:a16="http://schemas.microsoft.com/office/drawing/2014/main" id="{AD0EC535-7439-492B-9638-3DF184838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Sharma" refreshedDate="46206.740302430553" createdVersion="8" refreshedVersion="8" minRefreshableVersion="3" recordCount="10" xr:uid="{9F45F380-D06D-4400-98E2-3A9C50E9B063}">
  <cacheSource type="worksheet">
    <worksheetSource name="Table5"/>
  </cacheSource>
  <cacheFields count="10">
    <cacheField name="Sales_Order_ID" numFmtId="0">
      <sharedItems/>
    </cacheField>
    <cacheField name="Order_Date" numFmtId="14">
      <sharedItems containsSemiMixedTypes="0" containsNonDate="0" containsDate="1" containsString="0" minDate="2026-02-06T00:00:00" maxDate="2026-11-07T00:00:00" count="10">
        <d v="2026-02-06T00:00:00"/>
        <d v="2026-03-06T00:00:00"/>
        <d v="2026-04-06T00:00:00"/>
        <d v="2026-05-06T00:00:00"/>
        <d v="2026-06-06T00:00:00"/>
        <d v="2026-07-06T00:00:00"/>
        <d v="2026-08-06T00:00:00"/>
        <d v="2026-09-06T00:00:00"/>
        <d v="2026-10-06T00:00:00"/>
        <d v="2026-11-06T00:00:00"/>
      </sharedItems>
      <fieldGroup par="9"/>
    </cacheField>
    <cacheField name="Customer_ID" numFmtId="0">
      <sharedItems count="10">
        <s v="C001"/>
        <s v="C002"/>
        <s v="C003"/>
        <s v="C004"/>
        <s v="C005"/>
        <s v="C006"/>
        <s v="C007"/>
        <s v="C008"/>
        <s v="C009"/>
        <s v="C010"/>
      </sharedItems>
    </cacheField>
    <cacheField name="Product_ID" numFmtId="0">
      <sharedItems count="10">
        <s v="P001"/>
        <s v="P002"/>
        <s v="P003"/>
        <s v="P004"/>
        <s v="P005"/>
        <s v="P006"/>
        <s v="P007"/>
        <s v="P008"/>
        <s v="P009"/>
        <s v="P010"/>
      </sharedItems>
    </cacheField>
    <cacheField name="Quantity" numFmtId="0">
      <sharedItems containsSemiMixedTypes="0" containsString="0" containsNumber="1" containsInteger="1" minValue="5" maxValue="30"/>
    </cacheField>
    <cacheField name="Selling_Price" numFmtId="0">
      <sharedItems containsSemiMixedTypes="0" containsString="0" containsNumber="1" containsInteger="1" minValue="800" maxValue="55000"/>
    </cacheField>
    <cacheField name="Total_Sales" numFmtId="0">
      <sharedItems containsSemiMixedTypes="0" containsString="0" containsNumber="1" containsInteger="1" minValue="24000" maxValue="275000"/>
    </cacheField>
    <cacheField name="Order_Status" numFmtId="0">
      <sharedItems/>
    </cacheField>
    <cacheField name="Days (Order_Date)" numFmtId="0" databaseField="0">
      <fieldGroup base="1">
        <rangePr groupBy="days" startDate="2026-02-06T00:00:00" endDate="2026-11-07T00:00:00"/>
        <groupItems count="368">
          <s v="&lt;2/6/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7/2026"/>
        </groupItems>
      </fieldGroup>
    </cacheField>
    <cacheField name="Months (Order_Date)" numFmtId="0" databaseField="0">
      <fieldGroup base="1">
        <rangePr groupBy="months" startDate="2026-02-06T00:00:00" endDate="2026-11-07T00:00:00"/>
        <groupItems count="14">
          <s v="&lt;2/6/2026"/>
          <s v="Jan"/>
          <s v="Feb"/>
          <s v="Mar"/>
          <s v="Apr"/>
          <s v="May"/>
          <s v="Jun"/>
          <s v="Jul"/>
          <s v="Aug"/>
          <s v="Sep"/>
          <s v="Oct"/>
          <s v="Nov"/>
          <s v="Dec"/>
          <s v="&gt;11/7/2026"/>
        </groupItems>
      </fieldGroup>
    </cacheField>
  </cacheFields>
  <extLst>
    <ext xmlns:x14="http://schemas.microsoft.com/office/spreadsheetml/2009/9/main" uri="{725AE2AE-9491-48be-B2B4-4EB974FC3084}">
      <x14:pivotCacheDefinition pivotCacheId="19694557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Sharma" refreshedDate="46206.749058217596" createdVersion="8" refreshedVersion="8" minRefreshableVersion="3" recordCount="10" xr:uid="{43B25D2B-1603-4E36-B91C-78958B337671}">
  <cacheSource type="worksheet">
    <worksheetSource name="Table6"/>
  </cacheSource>
  <cacheFields count="9">
    <cacheField name="Purchase_Order_ID" numFmtId="0">
      <sharedItems/>
    </cacheField>
    <cacheField name="Order_Date" numFmtId="14">
      <sharedItems containsSemiMixedTypes="0" containsNonDate="0" containsDate="1" containsString="0" minDate="2026-01-06T00:00:00" maxDate="2026-10-07T00:00:00"/>
    </cacheField>
    <cacheField name="Product_ID" numFmtId="0">
      <sharedItems/>
    </cacheField>
    <cacheField name="Supplier_ID" numFmtId="0">
      <sharedItems count="5">
        <s v="S001"/>
        <s v="S002"/>
        <s v="S003"/>
        <s v="S004"/>
        <s v="S005"/>
      </sharedItems>
    </cacheField>
    <cacheField name="Quantity" numFmtId="0">
      <sharedItems containsSemiMixedTypes="0" containsString="0" containsNumber="1" containsInteger="1" minValue="18" maxValue="150"/>
    </cacheField>
    <cacheField name="Unit_Cost" numFmtId="0">
      <sharedItems containsSemiMixedTypes="0" containsString="0" containsNumber="1" containsInteger="1" minValue="350" maxValue="45000"/>
    </cacheField>
    <cacheField name="Total_Cost" numFmtId="0">
      <sharedItems containsSemiMixedTypes="0" containsString="0" containsNumber="1" containsInteger="1" minValue="52500" maxValue="900000"/>
    </cacheField>
    <cacheField name="Expected_Delivery" numFmtId="164">
      <sharedItems containsSemiMixedTypes="0" containsNonDate="0" containsDate="1" containsString="0" minDate="2026-01-16T00:00:00" maxDate="2026-10-13T00:00:00"/>
    </cacheField>
    <cacheField name="Status" numFmtId="0">
      <sharedItems/>
    </cacheField>
  </cacheFields>
  <extLst>
    <ext xmlns:x14="http://schemas.microsoft.com/office/spreadsheetml/2009/9/main" uri="{725AE2AE-9491-48be-B2B4-4EB974FC3084}">
      <x14:pivotCacheDefinition pivotCacheId="210703619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Sharma" refreshedDate="46206.752654745367" createdVersion="8" refreshedVersion="8" minRefreshableVersion="3" recordCount="9" xr:uid="{291A50B5-C4A2-4381-963F-6731682F9DB8}">
  <cacheSource type="worksheet">
    <worksheetSource name="Table4"/>
  </cacheSource>
  <cacheFields count="8">
    <cacheField name="Inventory_ID" numFmtId="0">
      <sharedItems/>
    </cacheField>
    <cacheField name="Product_ID" numFmtId="0">
      <sharedItems count="9">
        <s v="P002"/>
        <s v="P003"/>
        <s v="P004"/>
        <s v="P005"/>
        <s v="P006"/>
        <s v="P007"/>
        <s v="P008"/>
        <s v="P009"/>
        <s v="P010"/>
      </sharedItems>
    </cacheField>
    <cacheField name="Opening_Stock" numFmtId="0">
      <sharedItems containsSemiMixedTypes="0" containsString="0" containsNumber="1" containsInteger="1" minValue="40" maxValue="300"/>
    </cacheField>
    <cacheField name="Stock_In" numFmtId="0">
      <sharedItems containsSemiMixedTypes="0" containsString="0" containsNumber="1" containsInteger="1" minValue="18" maxValue="150"/>
    </cacheField>
    <cacheField name="Stock_Out" numFmtId="0">
      <sharedItems containsSemiMixedTypes="0" containsString="0" containsNumber="1" containsInteger="1" minValue="15" maxValue="140"/>
    </cacheField>
    <cacheField name="Current_Stock" numFmtId="0">
      <sharedItems containsSemiMixedTypes="0" containsString="0" containsNumber="1" containsInteger="1" minValue="43" maxValue="280"/>
    </cacheField>
    <cacheField name="Inventory_Value" numFmtId="0">
      <sharedItems containsSemiMixedTypes="0" containsString="0" containsNumber="1" containsInteger="1" minValue="91000" maxValue="1710000" count="9">
        <n v="1710000"/>
        <n v="168000"/>
        <n v="91000"/>
        <n v="603000"/>
        <n v="301000"/>
        <n v="187500"/>
        <n v="273000"/>
        <n v="156000"/>
        <n v="157500"/>
      </sharedItems>
    </cacheField>
    <cacheField name="Stock_Status" numFmtId="0">
      <sharedItems count="2">
        <s v="In Stock"/>
        <s v="Reorder"/>
      </sharedItems>
    </cacheField>
  </cacheFields>
  <extLst>
    <ext xmlns:x14="http://schemas.microsoft.com/office/spreadsheetml/2009/9/main" uri="{725AE2AE-9491-48be-B2B4-4EB974FC3084}">
      <x14:pivotCacheDefinition pivotCacheId="24841059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Sharma" refreshedDate="46206.803995023147" createdVersion="8" refreshedVersion="8" minRefreshableVersion="3" recordCount="10" xr:uid="{667E9206-A328-4202-9DC3-6E2E9216B280}">
  <cacheSource type="worksheet">
    <worksheetSource name="Table7"/>
  </cacheSource>
  <cacheFields count="10">
    <cacheField name="Shipment_ID" numFmtId="0">
      <sharedItems/>
    </cacheField>
    <cacheField name="Sales_Order_ID" numFmtId="0">
      <sharedItems/>
    </cacheField>
    <cacheField name="Customer_ID" numFmtId="0">
      <sharedItems/>
    </cacheField>
    <cacheField name="Product_ID" numFmtId="0">
      <sharedItems/>
    </cacheField>
    <cacheField name="Ship_Date" numFmtId="14">
      <sharedItems containsSemiMixedTypes="0" containsNonDate="0" containsDate="1" containsString="0" minDate="2025-01-02T00:00:00" maxDate="2025-01-12T00:00:00"/>
    </cacheField>
    <cacheField name="Delivery_Date" numFmtId="14">
      <sharedItems containsSemiMixedTypes="0" containsNonDate="0" containsDate="1" containsString="0" minDate="2025-01-05T00:00:00" maxDate="2025-01-16T00:00:00"/>
    </cacheField>
    <cacheField name="Carrier" numFmtId="0">
      <sharedItems count="4">
        <s v="DHL"/>
        <s v="FedEx"/>
        <s v="Blue Dart"/>
        <s v="Delhivery"/>
      </sharedItems>
    </cacheField>
    <cacheField name="Shipping_Cost" numFmtId="0">
      <sharedItems containsSemiMixedTypes="0" containsString="0" containsNumber="1" containsInteger="1" minValue="370" maxValue="620"/>
    </cacheField>
    <cacheField name="Delivery_Status" numFmtId="0">
      <sharedItems count="3">
        <s v="Delivered"/>
        <s v="In Transit"/>
        <s v="Delayed"/>
      </sharedItems>
    </cacheField>
    <cacheField name="Transit_Days." numFmtId="0">
      <sharedItems containsSemiMixedTypes="0" containsString="0" containsNumber="1" containsInteger="1" minValue="2" maxValue="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SO001"/>
    <x v="0"/>
    <x v="0"/>
    <x v="0"/>
    <n v="5"/>
    <n v="55000"/>
    <n v="275000"/>
    <s v="Delivered"/>
  </r>
  <r>
    <s v="SO002"/>
    <x v="1"/>
    <x v="1"/>
    <x v="1"/>
    <n v="10"/>
    <n v="25000"/>
    <n v="250000"/>
    <s v="Delivered"/>
  </r>
  <r>
    <s v="SO003"/>
    <x v="2"/>
    <x v="2"/>
    <x v="2"/>
    <n v="25"/>
    <n v="1200"/>
    <n v="30000"/>
    <s v="Delivered"/>
  </r>
  <r>
    <s v="SO004"/>
    <x v="3"/>
    <x v="3"/>
    <x v="3"/>
    <n v="30"/>
    <n v="800"/>
    <n v="24000"/>
    <s v="Pending"/>
  </r>
  <r>
    <s v="SO005"/>
    <x v="4"/>
    <x v="4"/>
    <x v="4"/>
    <n v="6"/>
    <n v="13000"/>
    <n v="78000"/>
    <s v="Delivered"/>
  </r>
  <r>
    <s v="SO006"/>
    <x v="5"/>
    <x v="5"/>
    <x v="5"/>
    <n v="8"/>
    <n v="9500"/>
    <n v="76000"/>
    <s v="Delivered"/>
  </r>
  <r>
    <s v="SO007"/>
    <x v="6"/>
    <x v="6"/>
    <x v="6"/>
    <n v="12"/>
    <n v="4200"/>
    <n v="50400"/>
    <s v="Cancelled"/>
  </r>
  <r>
    <s v="SO008"/>
    <x v="7"/>
    <x v="7"/>
    <x v="7"/>
    <n v="9"/>
    <n v="6500"/>
    <n v="58500"/>
    <s v="Delivered"/>
  </r>
  <r>
    <s v="SO009"/>
    <x v="8"/>
    <x v="8"/>
    <x v="8"/>
    <n v="20"/>
    <n v="2200"/>
    <n v="44000"/>
    <s v="Delivered"/>
  </r>
  <r>
    <s v="SO010"/>
    <x v="9"/>
    <x v="9"/>
    <x v="9"/>
    <n v="15"/>
    <n v="2800"/>
    <n v="42000"/>
    <s v="Pending"/>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PO001"/>
    <d v="2026-01-06T00:00:00"/>
    <s v="P001"/>
    <x v="0"/>
    <n v="20"/>
    <n v="45000"/>
    <n v="900000"/>
    <d v="2026-01-16T00:00:00"/>
    <s v="Delivered"/>
  </r>
  <r>
    <s v="PO002"/>
    <d v="2026-02-06T00:00:00"/>
    <s v="P002"/>
    <x v="0"/>
    <n v="35"/>
    <n v="18000"/>
    <n v="630000"/>
    <d v="2026-02-16T00:00:00"/>
    <s v="Delivered"/>
  </r>
  <r>
    <s v="PO003"/>
    <d v="2026-03-06T00:00:00"/>
    <s v="P003"/>
    <x v="1"/>
    <n v="100"/>
    <n v="600"/>
    <n v="60000"/>
    <d v="2026-03-11T00:00:00"/>
    <s v="Delivered"/>
  </r>
  <r>
    <s v="PO004"/>
    <d v="2026-04-06T00:00:00"/>
    <s v="P004"/>
    <x v="1"/>
    <n v="150"/>
    <n v="350"/>
    <n v="52500"/>
    <d v="2026-04-11T00:00:00"/>
    <s v="Pending"/>
  </r>
  <r>
    <s v="PO005"/>
    <d v="2026-05-06T00:00:00"/>
    <s v="P005"/>
    <x v="2"/>
    <n v="25"/>
    <n v="9000"/>
    <n v="225000"/>
    <d v="2026-05-18T00:00:00"/>
    <s v="Delivered"/>
  </r>
  <r>
    <s v="PO006"/>
    <d v="2026-06-06T00:00:00"/>
    <s v="P006"/>
    <x v="2"/>
    <n v="18"/>
    <n v="7000"/>
    <n v="126000"/>
    <d v="2026-06-18T00:00:00"/>
    <s v="Pending"/>
  </r>
  <r>
    <s v="PO007"/>
    <d v="2026-07-06T00:00:00"/>
    <s v="P007"/>
    <x v="3"/>
    <n v="40"/>
    <n v="2500"/>
    <n v="100000"/>
    <d v="2026-07-14T00:00:00"/>
    <s v="Delivered"/>
  </r>
  <r>
    <s v="PO008"/>
    <d v="2026-08-06T00:00:00"/>
    <s v="P008"/>
    <x v="3"/>
    <n v="30"/>
    <n v="4200"/>
    <n v="126000"/>
    <d v="2026-08-14T00:00:00"/>
    <s v="In Transit"/>
  </r>
  <r>
    <s v="PO009"/>
    <d v="2026-09-06T00:00:00"/>
    <s v="P009"/>
    <x v="4"/>
    <n v="60"/>
    <n v="1200"/>
    <n v="72000"/>
    <d v="2026-09-12T00:00:00"/>
    <s v="Delivered"/>
  </r>
  <r>
    <s v="PO010"/>
    <d v="2026-10-06T00:00:00"/>
    <s v="P010"/>
    <x v="4"/>
    <n v="45"/>
    <n v="1500"/>
    <n v="67500"/>
    <d v="2026-10-12T00:00:00"/>
    <s v="In Transi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INV002"/>
    <x v="0"/>
    <n v="80"/>
    <n v="35"/>
    <n v="20"/>
    <n v="95"/>
    <x v="0"/>
    <x v="0"/>
  </r>
  <r>
    <s v="INV003"/>
    <x v="1"/>
    <n v="300"/>
    <n v="100"/>
    <n v="120"/>
    <n v="280"/>
    <x v="1"/>
    <x v="0"/>
  </r>
  <r>
    <s v="INV004"/>
    <x v="2"/>
    <n v="250"/>
    <n v="150"/>
    <n v="140"/>
    <n v="260"/>
    <x v="2"/>
    <x v="0"/>
  </r>
  <r>
    <s v="INV005"/>
    <x v="3"/>
    <n v="60"/>
    <n v="25"/>
    <n v="18"/>
    <n v="67"/>
    <x v="3"/>
    <x v="0"/>
  </r>
  <r>
    <s v="INV006"/>
    <x v="4"/>
    <n v="40"/>
    <n v="18"/>
    <n v="15"/>
    <n v="43"/>
    <x v="4"/>
    <x v="0"/>
  </r>
  <r>
    <s v="INV007"/>
    <x v="5"/>
    <n v="90"/>
    <n v="40"/>
    <n v="55"/>
    <n v="75"/>
    <x v="5"/>
    <x v="1"/>
  </r>
  <r>
    <s v="INV008"/>
    <x v="6"/>
    <n v="75"/>
    <n v="30"/>
    <n v="40"/>
    <n v="65"/>
    <x v="6"/>
    <x v="0"/>
  </r>
  <r>
    <s v="INV009"/>
    <x v="7"/>
    <n v="150"/>
    <n v="60"/>
    <n v="80"/>
    <n v="130"/>
    <x v="7"/>
    <x v="0"/>
  </r>
  <r>
    <s v="INV010"/>
    <x v="8"/>
    <n v="110"/>
    <n v="45"/>
    <n v="50"/>
    <n v="105"/>
    <x v="8"/>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SH001"/>
    <s v="SO001"/>
    <s v="C001"/>
    <s v="P001"/>
    <d v="2025-01-02T00:00:00"/>
    <d v="2025-01-05T00:00:00"/>
    <x v="0"/>
    <n v="450"/>
    <x v="0"/>
    <n v="3"/>
  </r>
  <r>
    <s v="SH002"/>
    <s v="SO002"/>
    <s v="C002"/>
    <s v="P002"/>
    <d v="2025-01-03T00:00:00"/>
    <d v="2025-01-07T00:00:00"/>
    <x v="1"/>
    <n v="520"/>
    <x v="0"/>
    <n v="4"/>
  </r>
  <r>
    <s v="SH003"/>
    <s v="SO003"/>
    <s v="C003"/>
    <s v="P003"/>
    <d v="2025-01-04T00:00:00"/>
    <d v="2025-01-06T00:00:00"/>
    <x v="2"/>
    <n v="390"/>
    <x v="0"/>
    <n v="2"/>
  </r>
  <r>
    <s v="SH004"/>
    <s v="SO004"/>
    <s v="C004"/>
    <s v="P004"/>
    <d v="2025-01-05T00:00:00"/>
    <d v="2025-01-09T00:00:00"/>
    <x v="3"/>
    <n v="610"/>
    <x v="1"/>
    <n v="4"/>
  </r>
  <r>
    <s v="SH005"/>
    <s v="SO005"/>
    <s v="C005"/>
    <s v="P005"/>
    <d v="2025-01-06T00:00:00"/>
    <d v="2025-01-08T00:00:00"/>
    <x v="0"/>
    <n v="430"/>
    <x v="0"/>
    <n v="2"/>
  </r>
  <r>
    <s v="SH006"/>
    <s v="SO006"/>
    <s v="C006"/>
    <s v="P006"/>
    <d v="2025-01-07T00:00:00"/>
    <d v="2025-01-11T00:00:00"/>
    <x v="1"/>
    <n v="580"/>
    <x v="2"/>
    <n v="4"/>
  </r>
  <r>
    <s v="SH007"/>
    <s v="SO007"/>
    <s v="C007"/>
    <s v="P007"/>
    <d v="2025-01-08T00:00:00"/>
    <d v="2025-01-10T00:00:00"/>
    <x v="2"/>
    <n v="370"/>
    <x v="0"/>
    <n v="2"/>
  </r>
  <r>
    <s v="SH008"/>
    <s v="SO008"/>
    <s v="C008"/>
    <s v="P008"/>
    <d v="2025-01-09T00:00:00"/>
    <d v="2025-01-12T00:00:00"/>
    <x v="3"/>
    <n v="550"/>
    <x v="0"/>
    <n v="3"/>
  </r>
  <r>
    <s v="SH009"/>
    <s v="SO009"/>
    <s v="C009"/>
    <s v="P009"/>
    <d v="2025-01-10T00:00:00"/>
    <d v="2025-01-14T00:00:00"/>
    <x v="0"/>
    <n v="470"/>
    <x v="1"/>
    <n v="4"/>
  </r>
  <r>
    <s v="SH010"/>
    <s v="SO010"/>
    <s v="C010"/>
    <s v="P010"/>
    <d v="2025-01-11T00:00:00"/>
    <d v="2025-01-15T00:00:00"/>
    <x v="1"/>
    <n v="620"/>
    <x v="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EE5CFD-4EBA-4EE9-B946-2DA030A40765}"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ID">
  <location ref="A24:B34" firstHeaderRow="1" firstDataRow="1" firstDataCol="1"/>
  <pivotFields count="8">
    <pivotField showAll="0"/>
    <pivotField axis="axisRow" showAll="0" sortType="descending">
      <items count="10">
        <item x="0"/>
        <item x="1"/>
        <item x="2"/>
        <item x="3"/>
        <item x="4"/>
        <item x="5"/>
        <item x="6"/>
        <item x="7"/>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1"/>
  </rowFields>
  <rowItems count="10">
    <i>
      <x/>
    </i>
    <i>
      <x v="3"/>
    </i>
    <i>
      <x v="4"/>
    </i>
    <i>
      <x v="6"/>
    </i>
    <i>
      <x v="5"/>
    </i>
    <i>
      <x v="1"/>
    </i>
    <i>
      <x v="8"/>
    </i>
    <i>
      <x v="7"/>
    </i>
    <i>
      <x v="2"/>
    </i>
    <i t="grand">
      <x/>
    </i>
  </rowItems>
  <colItems count="1">
    <i/>
  </colItems>
  <dataFields count="1">
    <dataField name="Sum of Inventory_Value" fld="6" baseField="0" baseItem="0" numFmtId="165"/>
  </dataFields>
  <formats count="2">
    <format dxfId="58">
      <pivotArea dataOnly="0" labelOnly="1" outline="0" axis="axisValues" fieldPosition="0"/>
    </format>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CF7429-9A93-4247-A573-64CA144B178A}"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rrier">
  <location ref="M17:N22" firstHeaderRow="1" firstDataRow="1" firstDataCol="1"/>
  <pivotFields count="10">
    <pivotField dataField="1" showAll="0"/>
    <pivotField showAll="0"/>
    <pivotField showAll="0"/>
    <pivotField showAll="0"/>
    <pivotField numFmtId="14" showAll="0"/>
    <pivotField numFmtId="14"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6"/>
  </rowFields>
  <rowItems count="5">
    <i>
      <x v="3"/>
    </i>
    <i>
      <x v="2"/>
    </i>
    <i>
      <x/>
    </i>
    <i>
      <x v="1"/>
    </i>
    <i t="grand">
      <x/>
    </i>
  </rowItems>
  <colItems count="1">
    <i/>
  </colItems>
  <dataFields count="1">
    <dataField name="Shipment_ID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C40850-AFE5-4EB2-A72E-431C3588A33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upplier ID">
  <location ref="E3:F9" firstHeaderRow="1" firstDataRow="1" firstDataCol="1"/>
  <pivotFields count="9">
    <pivotField showAll="0"/>
    <pivotField numFmtId="14"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64" showAll="0"/>
    <pivotField showAll="0"/>
  </pivotFields>
  <rowFields count="1">
    <field x="3"/>
  </rowFields>
  <rowItems count="6">
    <i>
      <x/>
    </i>
    <i>
      <x v="2"/>
    </i>
    <i>
      <x v="3"/>
    </i>
    <i>
      <x v="4"/>
    </i>
    <i>
      <x v="1"/>
    </i>
    <i t="grand">
      <x/>
    </i>
  </rowItems>
  <colItems count="1">
    <i/>
  </colItems>
  <dataFields count="1">
    <dataField name="Total Purchase Cost (₹)" fld="6" baseField="3" baseItem="4" numFmtId="166"/>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A11A3A-9658-4CE9-ACBD-2ACC92004AED}"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livery_Status">
  <location ref="A17:B21" firstHeaderRow="1" firstDataRow="1" firstDataCol="1"/>
  <pivotFields count="10">
    <pivotField dataField="1" showAll="0"/>
    <pivotField showAll="0"/>
    <pivotField showAll="0"/>
    <pivotField showAll="0"/>
    <pivotField numFmtId="14" showAll="0"/>
    <pivotField numFmtId="14" showAll="0"/>
    <pivotField showAll="0"/>
    <pivotField showAll="0"/>
    <pivotField axis="axisRow" showAll="0">
      <items count="4">
        <item x="2"/>
        <item x="0"/>
        <item x="1"/>
        <item t="default"/>
      </items>
    </pivotField>
    <pivotField showAll="0"/>
  </pivotFields>
  <rowFields count="1">
    <field x="8"/>
  </rowFields>
  <rowItems count="4">
    <i>
      <x/>
    </i>
    <i>
      <x v="1"/>
    </i>
    <i>
      <x v="2"/>
    </i>
    <i t="grand">
      <x/>
    </i>
  </rowItems>
  <colItems count="1">
    <i/>
  </colItems>
  <dataFields count="1">
    <dataField name="Count of Shipm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052C47-A21C-41E9-B6C2-E3BBEE28D88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ID">
  <location ref="A3:B14" firstHeaderRow="1" firstDataRow="1" firstDataCol="1"/>
  <pivotFields count="10">
    <pivotField showAll="0"/>
    <pivotField numFmtId="14" showAll="0">
      <items count="11">
        <item x="0"/>
        <item x="1"/>
        <item x="2"/>
        <item x="3"/>
        <item x="4"/>
        <item x="5"/>
        <item x="6"/>
        <item x="7"/>
        <item x="8"/>
        <item x="9"/>
        <item t="default"/>
      </items>
    </pivotField>
    <pivotField showAll="0"/>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1">
    <i>
      <x/>
    </i>
    <i>
      <x v="1"/>
    </i>
    <i>
      <x v="4"/>
    </i>
    <i>
      <x v="5"/>
    </i>
    <i>
      <x v="7"/>
    </i>
    <i>
      <x v="6"/>
    </i>
    <i>
      <x v="8"/>
    </i>
    <i>
      <x v="9"/>
    </i>
    <i>
      <x v="2"/>
    </i>
    <i>
      <x v="3"/>
    </i>
    <i t="grand">
      <x/>
    </i>
  </rowItems>
  <colItems count="1">
    <i/>
  </colItems>
  <dataFields count="1">
    <dataField name="Total Sales Revenue (₹)" fld="6" baseField="3" baseItem="4" numFmtId="166"/>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A0C138-47B9-4C1F-A5C5-FDE751563F3C}"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rrier">
  <location ref="E17:F22" firstHeaderRow="1" firstDataRow="1" firstDataCol="1"/>
  <pivotFields count="10">
    <pivotField showAll="0"/>
    <pivotField showAll="0"/>
    <pivotField showAll="0"/>
    <pivotField showAll="0"/>
    <pivotField numFmtId="14" showAll="0"/>
    <pivotField numFmtId="14"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6"/>
  </rowFields>
  <rowItems count="5">
    <i>
      <x v="3"/>
    </i>
    <i>
      <x v="2"/>
    </i>
    <i>
      <x v="1"/>
    </i>
    <i>
      <x/>
    </i>
    <i t="grand">
      <x/>
    </i>
  </rowItems>
  <colItems count="1">
    <i/>
  </colItems>
  <dataFields count="1">
    <dataField name="Sum of Transit Day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0C81C3-CB8F-40AD-95D1-02ED53D774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ID">
  <location ref="I17:J28" firstHeaderRow="1" firstDataRow="1" firstDataCol="1"/>
  <pivotFields count="10">
    <pivotField showAll="0"/>
    <pivotField numFmtId="14" showAll="0">
      <items count="11">
        <item x="0"/>
        <item x="1"/>
        <item x="2"/>
        <item x="3"/>
        <item x="4"/>
        <item x="5"/>
        <item x="6"/>
        <item x="7"/>
        <item x="8"/>
        <item x="9"/>
        <item t="default"/>
      </items>
    </pivotField>
    <pivotField showAll="0"/>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1">
    <i>
      <x v="3"/>
    </i>
    <i>
      <x v="2"/>
    </i>
    <i>
      <x v="8"/>
    </i>
    <i>
      <x v="9"/>
    </i>
    <i>
      <x v="6"/>
    </i>
    <i>
      <x v="1"/>
    </i>
    <i>
      <x v="7"/>
    </i>
    <i>
      <x v="5"/>
    </i>
    <i>
      <x v="4"/>
    </i>
    <i>
      <x/>
    </i>
    <i t="grand">
      <x/>
    </i>
  </rowItems>
  <colItems count="1">
    <i/>
  </colItems>
  <dataFields count="1">
    <dataField name="Quantity (Sum)" fld="4" baseField="3"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52D65E-0FE8-4EF0-843D-61FC5317CB4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ustomer ID">
  <location ref="M3:N14" firstHeaderRow="1" firstDataRow="1" firstDataCol="1"/>
  <pivotFields count="10">
    <pivotField showAll="0"/>
    <pivotField numFmtId="14" showAll="0">
      <items count="11">
        <item x="0"/>
        <item x="1"/>
        <item x="2"/>
        <item x="3"/>
        <item x="4"/>
        <item x="5"/>
        <item x="6"/>
        <item x="7"/>
        <item x="8"/>
        <item x="9"/>
        <item t="default"/>
      </items>
    </pivotField>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items count="11">
        <item x="0"/>
        <item x="1"/>
        <item x="2"/>
        <item x="3"/>
        <item x="4"/>
        <item x="5"/>
        <item x="6"/>
        <item x="7"/>
        <item x="8"/>
        <item x="9"/>
        <item t="default"/>
      </items>
    </pivotField>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1">
    <i>
      <x/>
    </i>
    <i>
      <x v="1"/>
    </i>
    <i>
      <x v="4"/>
    </i>
    <i>
      <x v="5"/>
    </i>
    <i>
      <x v="7"/>
    </i>
    <i>
      <x v="6"/>
    </i>
    <i>
      <x v="8"/>
    </i>
    <i>
      <x v="9"/>
    </i>
    <i>
      <x v="2"/>
    </i>
    <i>
      <x v="3"/>
    </i>
    <i t="grand">
      <x/>
    </i>
  </rowItems>
  <colItems count="1">
    <i/>
  </colItems>
  <dataFields count="1">
    <dataField name="Sales Revenue (₹)"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F4821E-CDE4-481E-A5F2-83C947B3B65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3:J6" firstHeaderRow="1" firstDataRow="1" firstDataCol="1"/>
  <pivotFields count="8">
    <pivotField showAll="0"/>
    <pivotField dataField="1" showAll="0"/>
    <pivotField showAll="0"/>
    <pivotField showAll="0"/>
    <pivotField showAll="0"/>
    <pivotField showAll="0"/>
    <pivotField showAll="0">
      <items count="10">
        <item x="2"/>
        <item x="7"/>
        <item x="8"/>
        <item x="1"/>
        <item x="5"/>
        <item x="6"/>
        <item x="4"/>
        <item x="3"/>
        <item x="0"/>
        <item t="default"/>
      </items>
    </pivotField>
    <pivotField axis="axisRow" showAll="0">
      <items count="3">
        <item x="0"/>
        <item x="1"/>
        <item t="default"/>
      </items>
    </pivotField>
  </pivotFields>
  <rowFields count="1">
    <field x="7"/>
  </rowFields>
  <rowItems count="3">
    <i>
      <x/>
    </i>
    <i>
      <x v="1"/>
    </i>
    <i t="grand">
      <x/>
    </i>
  </rowItems>
  <colItems count="1">
    <i/>
  </colItems>
  <dataFields count="1">
    <dataField name="Inventory Status" fld="1" subtotal="count" baseField="7"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ID" xr10:uid="{AD1331C0-B726-49FD-8A36-DE261295B0AF}" sourceName="Supplier_ID">
  <pivotTables>
    <pivotTable tabId="11" name="PivotTable4"/>
  </pivotTables>
  <data>
    <tabular pivotCacheId="2107036191">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ntory_Value" xr10:uid="{2034176F-3C0E-4E5A-81C0-C5C6D1F82008}" sourceName="Inventory_Value">
  <pivotTables>
    <pivotTable tabId="11" name="PivotTable5"/>
  </pivotTables>
  <data>
    <tabular pivotCacheId="248410590">
      <items count="9">
        <i x="2" s="1"/>
        <i x="7" s="1"/>
        <i x="8" s="1"/>
        <i x="1" s="1"/>
        <i x="5" s="1"/>
        <i x="6"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7E4C2E0A-1470-4019-AB48-5A667E754710}" sourceName="Product_ID">
  <pivotTables>
    <pivotTable tabId="11" name="PivotTable6"/>
  </pivotTables>
  <data>
    <tabular pivotCacheId="1969455741">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_ID" xr10:uid="{4907EAB8-33A9-4548-A60F-6906682C9F2D}" cache="Slicer_Supplier_ID" caption="Supplier_ID" rowHeight="251883"/>
  <slicer name="Inventory_Value" xr10:uid="{84ACA8C1-1D8E-4922-B573-A611B5CCD5F6}" cache="Slicer_Inventory_Value" caption="Inventory_Value" rowHeight="251883"/>
  <slicer name="Product_ID" xr10:uid="{899C68FC-8D78-4B4A-93A5-FB8EB6AE2D05}" cache="Slicer_Product_ID" caption="Product_ID"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5934E6-51B3-4596-9391-4F9024ECBC14}" name="products" displayName="products" ref="A1:I11" totalsRowShown="0" headerRowDxfId="56" dataDxfId="55">
  <autoFilter ref="A1:I11" xr:uid="{605934E6-51B3-4596-9391-4F9024ECBC14}"/>
  <tableColumns count="9">
    <tableColumn id="1" xr3:uid="{5030230E-330A-417F-BD89-10E2A39CB9B8}" name="Product_ID" dataDxfId="54"/>
    <tableColumn id="2" xr3:uid="{3F852118-4DC8-486E-8FE4-220958E8FAAF}" name="Product_Name" dataDxfId="53"/>
    <tableColumn id="3" xr3:uid="{1304BB98-FB7A-4D41-A913-75C490917237}" name="Category" dataDxfId="52"/>
    <tableColumn id="4" xr3:uid="{A762FE4F-347F-4A3D-B549-7160B5DF9C38}" name="Unit_Cost" dataDxfId="51"/>
    <tableColumn id="5" xr3:uid="{CBB3DE9B-25FC-4BDD-868A-371BE7A0C5AB}" name="Selling_Price" dataDxfId="50"/>
    <tableColumn id="6" xr3:uid="{DB465218-EDCC-4FAC-95D6-7F977F2190AC}" name="Lead_Time" dataDxfId="49"/>
    <tableColumn id="7" xr3:uid="{49894D5B-1AF6-4AEA-84DC-AD56DB5BCAC1}" name="Safety_Stock" dataDxfId="48"/>
    <tableColumn id="8" xr3:uid="{13F1859A-D071-42D0-A262-6D68A54F44DA}" name="Reorder_Point" dataDxfId="47"/>
    <tableColumn id="9" xr3:uid="{CDC76D43-D9FE-43D9-8072-64C1D23DC158}" name="Supplier_ID" dataDxfId="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1533F1-9008-4E00-AE7A-338DE41A99DD}" name="Suppliers" displayName="Suppliers" ref="A1:F6" totalsRowShown="0" headerRowDxfId="45" dataDxfId="44">
  <autoFilter ref="A1:F6" xr:uid="{E31533F1-9008-4E00-AE7A-338DE41A99DD}"/>
  <tableColumns count="6">
    <tableColumn id="1" xr3:uid="{D271541B-06F5-4F70-B192-4E65B36F9949}" name="Supplier_ID" dataDxfId="43"/>
    <tableColumn id="2" xr3:uid="{F8CB2199-1939-4462-B850-4AABCE7F55CB}" name="Supplier_Name" dataDxfId="42"/>
    <tableColumn id="3" xr3:uid="{A95F3ED4-12C3-4E62-B845-3E3DA246EC15}" name="City" dataDxfId="41"/>
    <tableColumn id="4" xr3:uid="{581B683E-33C4-478C-969C-F1E0E85EB481}" name="Country" dataDxfId="40"/>
    <tableColumn id="5" xr3:uid="{5AABABB7-0D14-4054-8C86-DDFA0DB2CA74}" name="Lead_Time_Days" dataDxfId="39"/>
    <tableColumn id="6" xr3:uid="{D8D185CD-F2C4-47E8-8CF9-2F95C56B997E}" name="Rating" dataDxfId="3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3CAF3C-3087-4684-ACE2-C493973EB6BD}" name="Customers" displayName="Customers" ref="A1:E11" totalsRowShown="0" headerRowDxfId="37" dataDxfId="36">
  <autoFilter ref="A1:E11" xr:uid="{1C3CAF3C-3087-4684-ACE2-C493973EB6BD}"/>
  <tableColumns count="5">
    <tableColumn id="1" xr3:uid="{BC876AD6-D869-435C-88FE-D4F92EB10E48}" name="Customer_ID" dataDxfId="35"/>
    <tableColumn id="2" xr3:uid="{C2497D90-E18F-4447-A771-350077285389}" name="Customer_Name" dataDxfId="34"/>
    <tableColumn id="3" xr3:uid="{F1E0074D-BA7A-4532-826E-CB1053FC9C4B}" name="City" dataDxfId="33"/>
    <tableColumn id="4" xr3:uid="{26DCB994-7DEE-42ED-A5FF-1668A181594A}" name="State" dataDxfId="32"/>
    <tableColumn id="5" xr3:uid="{3283CBE0-04DE-4405-8F04-A7986CA4E2B3}" name="Customer_Type" dataDxfId="3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1834530-5BB0-4700-B8D2-E6EC7BCC343B}" name="Table6" displayName="Table6" ref="A1:I11" totalsRowShown="0" headerRowDxfId="30">
  <autoFilter ref="A1:I11" xr:uid="{31834530-5BB0-4700-B8D2-E6EC7BCC343B}"/>
  <tableColumns count="9">
    <tableColumn id="1" xr3:uid="{1C148D51-4EAA-49A1-9984-97D45278E734}" name="Purchase_Order_ID"/>
    <tableColumn id="2" xr3:uid="{103B8412-0D92-4DE6-8294-AD0BD31516A0}" name="Order_Date"/>
    <tableColumn id="3" xr3:uid="{4431A4D5-B688-4B42-836E-6CF6C8D786CA}" name="Product_ID"/>
    <tableColumn id="4" xr3:uid="{1C7AF82A-2AEE-43E8-AC85-385DF947DB85}" name="Supplier_ID"/>
    <tableColumn id="5" xr3:uid="{AFC53A5D-BE7C-4EE0-9123-E5AA98F58385}" name="Quantity"/>
    <tableColumn id="6" xr3:uid="{CE296297-1929-4756-9B71-4739A92027DB}" name="Unit_Cost" dataDxfId="29">
      <calculatedColumnFormula>_xlfn.XLOOKUP(Table6[[#This Row],[Product_ID]],products[Product_ID],products[Unit_Cost])</calculatedColumnFormula>
    </tableColumn>
    <tableColumn id="7" xr3:uid="{6C503E89-C80E-454F-A64D-B676D7400036}" name="Total_Cost" dataDxfId="28">
      <calculatedColumnFormula>Table6[[#This Row],[Quantity]]*Table6[[#This Row],[Unit_Cost]]</calculatedColumnFormula>
    </tableColumn>
    <tableColumn id="8" xr3:uid="{3DC8E75E-6055-493C-A379-7DCE27658752}" name="Expected_Delivery" dataDxfId="27">
      <calculatedColumnFormula>B2+_xlfn.XLOOKUP(D2,Suppliers!A:A,Suppliers!E:E)</calculatedColumnFormula>
    </tableColumn>
    <tableColumn id="9" xr3:uid="{3A968DA6-86BE-4A24-A147-041AE4357859}" name="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702B60-40A5-4FCE-9388-BD50C2D81724}" name="Table4" displayName="Table4" ref="A1:H10" totalsRowShown="0" headerRowDxfId="26">
  <autoFilter ref="A1:H10" xr:uid="{27702B60-40A5-4FCE-9388-BD50C2D81724}"/>
  <tableColumns count="8">
    <tableColumn id="1" xr3:uid="{F7FCBC25-1ABC-4B78-9FB4-4EBE525D5A4C}" name="Inventory_ID" dataDxfId="25"/>
    <tableColumn id="2" xr3:uid="{2B570AB4-E140-421D-933A-5C6E4A03CE3D}" name="Product_ID" dataDxfId="24"/>
    <tableColumn id="3" xr3:uid="{AB859D3D-E271-4A7A-906E-3CF6A8B4B763}" name="Opening_Stock" dataDxfId="23"/>
    <tableColumn id="4" xr3:uid="{5CF32480-2BC3-4EBF-AFA7-1341A77EA4F3}" name="Stock_In" dataDxfId="22"/>
    <tableColumn id="5" xr3:uid="{B85C4E32-36CE-4576-92B3-A25AE0804169}" name="Stock_Out" dataDxfId="21"/>
    <tableColumn id="6" xr3:uid="{CF757E65-3024-403A-B5F5-3EFDEBFBB551}" name="Current_Stock">
      <calculatedColumnFormula>C2+D2-E2</calculatedColumnFormula>
    </tableColumn>
    <tableColumn id="7" xr3:uid="{CA12B5F1-720F-43E5-A2C4-031172F03320}" name="Inventory_Value">
      <calculatedColumnFormula>F2*_xlfn.XLOOKUP(B2,products[Product_ID],products[Unit_Cost])</calculatedColumnFormula>
    </tableColumn>
    <tableColumn id="8" xr3:uid="{719483C0-FD12-4326-AE38-6DF08E84B5AD}" name="Stock_Status">
      <calculatedColumnFormula>IF(F2&lt;=_xlfn.XLOOKUP(B2,products[Product_ID],products[Reorder_Point],0),"Reorder","In Stock")</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E3DE493-5A03-4D38-B7C9-4CA095197A50}" name="Table5" displayName="Table5" ref="A1:H11" totalsRowShown="0" headerRowDxfId="20" dataDxfId="19">
  <autoFilter ref="A1:H11" xr:uid="{EE3DE493-5A03-4D38-B7C9-4CA095197A50}"/>
  <tableColumns count="8">
    <tableColumn id="1" xr3:uid="{6DED862B-649C-4259-8391-0D80FF495404}" name="Sales_Order_ID" dataDxfId="18"/>
    <tableColumn id="2" xr3:uid="{DC9B46A0-5D0C-4213-833E-F5747EE9FAF7}" name="Order_Date" dataDxfId="17"/>
    <tableColumn id="3" xr3:uid="{C76F651B-6ACA-4A03-851B-C6DDF27B76AA}" name="Customer_ID" dataDxfId="16"/>
    <tableColumn id="4" xr3:uid="{8A5A945A-1F61-43F3-B326-1E76012B7530}" name="Product_ID" dataDxfId="15"/>
    <tableColumn id="5" xr3:uid="{E6FCD828-CD59-4AB8-85CD-84B20F11CD57}" name="Quantity" dataDxfId="14"/>
    <tableColumn id="6" xr3:uid="{F02928AF-A493-4E98-9409-F15C77E53B9A}" name="Selling_Price" dataDxfId="13">
      <calculatedColumnFormula>_xlfn.XLOOKUP(D2,products[Product_ID],products[Selling_Price])</calculatedColumnFormula>
    </tableColumn>
    <tableColumn id="7" xr3:uid="{402B64C5-D6A7-4F31-AAE3-862E7794CA53}" name="Total_Sales" dataDxfId="12">
      <calculatedColumnFormula>E2*F2</calculatedColumnFormula>
    </tableColumn>
    <tableColumn id="8" xr3:uid="{D941CD7A-977F-470E-B665-D9E9DC36AB6B}" name="Order_Status" dataDxfId="1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E91651A-361A-4D9F-B6DF-9A9CA4784FB4}" name="Table7" displayName="Table7" ref="A1:J11" totalsRowShown="0" headerRowDxfId="10" dataDxfId="9">
  <autoFilter ref="A1:J11" xr:uid="{7E91651A-361A-4D9F-B6DF-9A9CA4784FB4}"/>
  <tableColumns count="10">
    <tableColumn id="1" xr3:uid="{3A665A0C-413B-426B-B45A-1F93F6149838}" name="Shipment_ID" dataDxfId="8"/>
    <tableColumn id="2" xr3:uid="{F0946419-7001-464A-99EC-83A58B9FF314}" name="Sales_Order_ID" dataDxfId="7"/>
    <tableColumn id="3" xr3:uid="{82FAC7D0-6D5F-4A3B-B1CF-C2CAC1E6D09C}" name="Customer_ID" dataDxfId="6"/>
    <tableColumn id="4" xr3:uid="{0A15DF7D-0415-4468-BAAD-58AEB27182F6}" name="Product_ID" dataDxfId="5"/>
    <tableColumn id="5" xr3:uid="{990E1C58-0276-4EBA-A73C-4D935EBB7380}" name="Ship_Date" dataDxfId="4"/>
    <tableColumn id="6" xr3:uid="{011BDC1D-32A9-4252-AF4C-11341735D300}" name="Delivery_Date" dataDxfId="3"/>
    <tableColumn id="7" xr3:uid="{6FB48999-7CBB-4667-8516-D99829A9A307}" name="Carrier" dataDxfId="2"/>
    <tableColumn id="8" xr3:uid="{63D2527D-3478-4F21-B6C5-8306A5171FCC}" name="Shipping_Cost" dataDxfId="1"/>
    <tableColumn id="9" xr3:uid="{721BA4EC-283B-4855-8450-C47BDD926F32}" name="Delivery_Status" dataDxfId="0"/>
    <tableColumn id="10" xr3:uid="{7C433FF6-F716-4B35-B2F7-FE41C847998E}" name="Transit_Days.">
      <calculatedColumnFormula>F2-E2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3F54B-6812-49EE-A545-B76339C8BA8E}">
  <sheetPr>
    <pageSetUpPr autoPageBreaks="0"/>
  </sheetPr>
  <dimension ref="A1:T24"/>
  <sheetViews>
    <sheetView showGridLines="0" showRowColHeaders="0" tabSelected="1" zoomScale="52" zoomScaleNormal="26" zoomScalePageLayoutView="37" workbookViewId="0">
      <selection activeCell="AH47" sqref="AH47"/>
    </sheetView>
  </sheetViews>
  <sheetFormatPr defaultRowHeight="14.5"/>
  <cols>
    <col min="2" max="2" width="14.453125" customWidth="1"/>
    <col min="6" max="6" width="17" customWidth="1"/>
    <col min="10" max="10" width="15.90625" customWidth="1"/>
    <col min="14" max="14" width="15.26953125" customWidth="1"/>
  </cols>
  <sheetData>
    <row r="1" spans="1:16">
      <c r="A1" s="20" t="s">
        <v>136</v>
      </c>
      <c r="B1" s="21"/>
      <c r="C1" s="21"/>
      <c r="D1" s="21"/>
      <c r="E1" s="21"/>
      <c r="F1" s="21"/>
      <c r="G1" s="21"/>
      <c r="H1" s="21"/>
      <c r="I1" s="21"/>
      <c r="J1" s="21"/>
      <c r="K1" s="21"/>
      <c r="L1" s="21"/>
      <c r="M1" s="21"/>
      <c r="N1" s="21"/>
    </row>
    <row r="2" spans="1:16">
      <c r="A2" s="21"/>
      <c r="B2" s="21"/>
      <c r="C2" s="21"/>
      <c r="D2" s="21"/>
      <c r="E2" s="21"/>
      <c r="F2" s="21"/>
      <c r="G2" s="21"/>
      <c r="H2" s="21"/>
      <c r="I2" s="21"/>
      <c r="J2" s="21"/>
      <c r="K2" s="21"/>
      <c r="L2" s="21"/>
      <c r="M2" s="21"/>
      <c r="N2" s="21"/>
    </row>
    <row r="3" spans="1:16">
      <c r="A3" s="21" t="s">
        <v>150</v>
      </c>
      <c r="B3" s="21"/>
      <c r="C3" s="21"/>
      <c r="D3" s="21"/>
      <c r="E3" s="21"/>
      <c r="F3" s="21"/>
      <c r="G3" s="21"/>
      <c r="H3" s="21"/>
      <c r="I3" s="21"/>
      <c r="J3" s="21"/>
      <c r="K3" s="21"/>
      <c r="L3" s="21"/>
      <c r="M3" s="21"/>
      <c r="N3" s="21"/>
    </row>
    <row r="6" spans="1:16" ht="15" thickBot="1"/>
    <row r="7" spans="1:16" ht="15" thickTop="1">
      <c r="A7" s="24" t="s">
        <v>148</v>
      </c>
      <c r="B7" s="25"/>
      <c r="C7" s="8"/>
      <c r="D7" s="8"/>
      <c r="E7" s="17" t="s">
        <v>138</v>
      </c>
      <c r="F7" s="17"/>
      <c r="G7" s="8"/>
      <c r="H7" s="8"/>
      <c r="I7" s="17" t="s">
        <v>139</v>
      </c>
      <c r="J7" s="17"/>
      <c r="K7" s="8"/>
      <c r="L7" s="8"/>
      <c r="M7" s="17" t="s">
        <v>140</v>
      </c>
      <c r="N7" s="17"/>
      <c r="O7" s="7"/>
      <c r="P7" s="7"/>
    </row>
    <row r="8" spans="1:16">
      <c r="A8" s="26"/>
      <c r="B8" s="27"/>
      <c r="C8" s="8"/>
      <c r="D8" s="8"/>
      <c r="E8" s="17"/>
      <c r="F8" s="17"/>
      <c r="G8" s="8"/>
      <c r="H8" s="8"/>
      <c r="I8" s="17"/>
      <c r="J8" s="17"/>
      <c r="K8" s="8"/>
      <c r="L8" s="8"/>
      <c r="M8" s="17"/>
      <c r="N8" s="17"/>
      <c r="O8" s="7"/>
      <c r="P8" s="7"/>
    </row>
    <row r="9" spans="1:16">
      <c r="A9" s="26"/>
      <c r="B9" s="27"/>
      <c r="C9" s="8"/>
      <c r="D9" s="8"/>
      <c r="E9" s="17"/>
      <c r="F9" s="17"/>
      <c r="G9" s="8"/>
      <c r="H9" s="8"/>
      <c r="I9" s="17"/>
      <c r="J9" s="17"/>
      <c r="K9" s="8"/>
      <c r="L9" s="8"/>
      <c r="M9" s="17"/>
      <c r="N9" s="17"/>
      <c r="O9" s="7"/>
      <c r="P9" s="7"/>
    </row>
    <row r="10" spans="1:16" ht="15" thickBot="1">
      <c r="A10" s="18">
        <f>SUM(Purchase_Orders!G2:G11)</f>
        <v>2359000</v>
      </c>
      <c r="B10" s="19"/>
      <c r="C10" s="8"/>
      <c r="D10" s="8"/>
      <c r="E10" s="18">
        <f>SUM(Sales_Orders!G2:G11)</f>
        <v>927900</v>
      </c>
      <c r="F10" s="19"/>
      <c r="G10" s="8"/>
      <c r="H10" s="8"/>
      <c r="I10" s="22">
        <f>SUM(Inventory!G2:G10)</f>
        <v>3647000</v>
      </c>
      <c r="J10" s="23"/>
      <c r="K10" s="8"/>
      <c r="L10" s="8"/>
      <c r="M10" s="17">
        <f>COUNTA(Products!A2:A11)</f>
        <v>10</v>
      </c>
      <c r="N10" s="17"/>
      <c r="O10" s="7"/>
      <c r="P10" s="7"/>
    </row>
    <row r="11" spans="1:16" ht="15" thickTop="1">
      <c r="A11" s="9"/>
      <c r="B11" s="9"/>
      <c r="C11" s="9"/>
      <c r="D11" s="9"/>
      <c r="E11" s="9"/>
      <c r="F11" s="9"/>
      <c r="G11" s="9"/>
      <c r="H11" s="9"/>
      <c r="I11" s="9"/>
      <c r="J11" s="9"/>
      <c r="K11" s="9"/>
      <c r="L11" s="9"/>
      <c r="M11" s="9"/>
      <c r="N11" s="9"/>
      <c r="O11" s="7"/>
      <c r="P11" s="7"/>
    </row>
    <row r="12" spans="1:16">
      <c r="A12" s="9"/>
      <c r="B12" s="9"/>
      <c r="C12" s="9"/>
      <c r="D12" s="9"/>
      <c r="E12" s="9"/>
      <c r="F12" s="9"/>
      <c r="G12" s="9"/>
      <c r="H12" s="9"/>
      <c r="I12" s="9"/>
      <c r="J12" s="9"/>
      <c r="K12" s="9"/>
      <c r="L12" s="9"/>
      <c r="M12" s="9"/>
      <c r="N12" s="9"/>
      <c r="O12" s="7"/>
      <c r="P12" s="7"/>
    </row>
    <row r="13" spans="1:16">
      <c r="A13" s="17" t="s">
        <v>141</v>
      </c>
      <c r="B13" s="17"/>
    </row>
    <row r="14" spans="1:16">
      <c r="A14" s="17"/>
      <c r="B14" s="17"/>
      <c r="C14" s="8"/>
      <c r="D14" s="8"/>
      <c r="E14" s="17" t="s">
        <v>149</v>
      </c>
      <c r="F14" s="17"/>
      <c r="G14" s="8"/>
      <c r="H14" s="8"/>
      <c r="I14" s="17" t="s">
        <v>173</v>
      </c>
      <c r="J14" s="17"/>
      <c r="M14" s="17" t="s">
        <v>174</v>
      </c>
      <c r="N14" s="17"/>
    </row>
    <row r="15" spans="1:16">
      <c r="A15" s="17"/>
      <c r="B15" s="17"/>
      <c r="C15" s="8"/>
      <c r="D15" s="8"/>
      <c r="E15" s="17"/>
      <c r="F15" s="17"/>
      <c r="G15" s="8"/>
      <c r="H15" s="8"/>
      <c r="I15" s="17"/>
      <c r="J15" s="17"/>
      <c r="M15" s="17"/>
      <c r="N15" s="17"/>
    </row>
    <row r="16" spans="1:16">
      <c r="A16" s="17"/>
      <c r="B16" s="17"/>
      <c r="C16" s="8"/>
      <c r="D16" s="8"/>
      <c r="E16" s="17"/>
      <c r="F16" s="17"/>
      <c r="G16" s="8"/>
      <c r="H16" s="8"/>
      <c r="I16" s="17"/>
      <c r="J16" s="17"/>
      <c r="M16" s="17"/>
      <c r="N16" s="17"/>
    </row>
    <row r="17" spans="1:20" ht="15" thickBot="1">
      <c r="A17" s="17">
        <f>COUNTA(Suppliers!A2:A6)</f>
        <v>5</v>
      </c>
      <c r="B17" s="17"/>
      <c r="C17" s="8"/>
      <c r="D17" s="8"/>
      <c r="E17" s="17">
        <f>COUNTA('Customers'!A2:A11)</f>
        <v>10</v>
      </c>
      <c r="F17" s="17"/>
      <c r="G17" s="8"/>
      <c r="H17" s="8"/>
      <c r="I17" s="18">
        <f>SUM(Shipments!H2:H11)</f>
        <v>4990</v>
      </c>
      <c r="J17" s="19"/>
      <c r="M17" s="17">
        <f>AVERAGE(Shipments!J2:J11)</f>
        <v>3.2</v>
      </c>
      <c r="N17" s="17"/>
    </row>
    <row r="18" spans="1:20" ht="15" thickTop="1"/>
    <row r="24" spans="1:20">
      <c r="T24" t="s">
        <v>147</v>
      </c>
    </row>
  </sheetData>
  <mergeCells count="18">
    <mergeCell ref="A1:N2"/>
    <mergeCell ref="E10:F10"/>
    <mergeCell ref="I7:J9"/>
    <mergeCell ref="I10:J10"/>
    <mergeCell ref="M7:N9"/>
    <mergeCell ref="A3:N3"/>
    <mergeCell ref="A7:B9"/>
    <mergeCell ref="E7:F9"/>
    <mergeCell ref="I14:J16"/>
    <mergeCell ref="I17:J17"/>
    <mergeCell ref="M14:N16"/>
    <mergeCell ref="M17:N17"/>
    <mergeCell ref="A10:B10"/>
    <mergeCell ref="M10:N10"/>
    <mergeCell ref="A13:B16"/>
    <mergeCell ref="A17:B17"/>
    <mergeCell ref="E14:F16"/>
    <mergeCell ref="E17:F1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025DC-0F73-4575-B74E-9803BC12CADF}">
  <dimension ref="A3:N34"/>
  <sheetViews>
    <sheetView topLeftCell="A13" zoomScale="74" zoomScaleNormal="85" workbookViewId="0">
      <selection activeCell="B26" sqref="B26"/>
    </sheetView>
  </sheetViews>
  <sheetFormatPr defaultRowHeight="14.5"/>
  <cols>
    <col min="1" max="1" width="12.6328125" bestFit="1" customWidth="1"/>
    <col min="2" max="2" width="20.54296875" bestFit="1" customWidth="1"/>
    <col min="5" max="5" width="10.36328125" bestFit="1" customWidth="1"/>
    <col min="6" max="6" width="17.36328125" bestFit="1" customWidth="1"/>
    <col min="9" max="9" width="12.6328125" bestFit="1" customWidth="1"/>
    <col min="10" max="10" width="13.54296875" bestFit="1" customWidth="1"/>
    <col min="13" max="13" width="10.36328125" bestFit="1" customWidth="1"/>
    <col min="14" max="14" width="18.54296875" bestFit="1" customWidth="1"/>
  </cols>
  <sheetData>
    <row r="3" spans="1:14">
      <c r="A3" s="10" t="s">
        <v>210</v>
      </c>
      <c r="B3" t="s">
        <v>211</v>
      </c>
      <c r="E3" s="10" t="s">
        <v>212</v>
      </c>
      <c r="F3" t="s">
        <v>213</v>
      </c>
      <c r="I3" s="10" t="s">
        <v>142</v>
      </c>
      <c r="J3" t="s">
        <v>146</v>
      </c>
      <c r="M3" s="10" t="s">
        <v>214</v>
      </c>
      <c r="N3" t="s">
        <v>215</v>
      </c>
    </row>
    <row r="4" spans="1:14">
      <c r="A4" s="11" t="s">
        <v>9</v>
      </c>
      <c r="B4" s="12">
        <v>275000</v>
      </c>
      <c r="E4" s="11" t="s">
        <v>12</v>
      </c>
      <c r="F4" s="12">
        <v>1530000</v>
      </c>
      <c r="I4" s="11" t="s">
        <v>144</v>
      </c>
      <c r="J4">
        <v>8</v>
      </c>
      <c r="M4" s="11" t="s">
        <v>59</v>
      </c>
      <c r="N4">
        <v>275000</v>
      </c>
    </row>
    <row r="5" spans="1:14">
      <c r="A5" s="11" t="s">
        <v>13</v>
      </c>
      <c r="B5" s="12">
        <v>250000</v>
      </c>
      <c r="E5" s="11" t="s">
        <v>23</v>
      </c>
      <c r="F5" s="12">
        <v>351000</v>
      </c>
      <c r="I5" s="11" t="s">
        <v>145</v>
      </c>
      <c r="J5">
        <v>1</v>
      </c>
      <c r="M5" s="11" t="s">
        <v>63</v>
      </c>
      <c r="N5">
        <v>250000</v>
      </c>
    </row>
    <row r="6" spans="1:14">
      <c r="A6" s="11" t="s">
        <v>21</v>
      </c>
      <c r="B6" s="12">
        <v>78000</v>
      </c>
      <c r="E6" s="11" t="s">
        <v>30</v>
      </c>
      <c r="F6" s="12">
        <v>226000</v>
      </c>
      <c r="I6" s="11" t="s">
        <v>143</v>
      </c>
      <c r="J6">
        <v>9</v>
      </c>
      <c r="M6" s="11" t="s">
        <v>72</v>
      </c>
      <c r="N6">
        <v>78000</v>
      </c>
    </row>
    <row r="7" spans="1:14">
      <c r="A7" s="11" t="s">
        <v>24</v>
      </c>
      <c r="B7" s="12">
        <v>76000</v>
      </c>
      <c r="E7" s="11" t="s">
        <v>36</v>
      </c>
      <c r="F7" s="12">
        <v>139500</v>
      </c>
      <c r="M7" s="11" t="s">
        <v>74</v>
      </c>
      <c r="N7">
        <v>76000</v>
      </c>
    </row>
    <row r="8" spans="1:14">
      <c r="A8" s="11" t="s">
        <v>31</v>
      </c>
      <c r="B8" s="12">
        <v>58500</v>
      </c>
      <c r="E8" s="11" t="s">
        <v>18</v>
      </c>
      <c r="F8" s="12">
        <v>112500</v>
      </c>
      <c r="M8" s="11" t="s">
        <v>79</v>
      </c>
      <c r="N8">
        <v>58500</v>
      </c>
    </row>
    <row r="9" spans="1:14">
      <c r="A9" s="11" t="s">
        <v>27</v>
      </c>
      <c r="B9" s="12">
        <v>50400</v>
      </c>
      <c r="E9" s="11" t="s">
        <v>143</v>
      </c>
      <c r="F9" s="12">
        <v>2359000</v>
      </c>
      <c r="M9" s="11" t="s">
        <v>76</v>
      </c>
      <c r="N9">
        <v>50400</v>
      </c>
    </row>
    <row r="10" spans="1:14">
      <c r="A10" s="11" t="s">
        <v>34</v>
      </c>
      <c r="B10" s="12">
        <v>44000</v>
      </c>
      <c r="M10" s="11" t="s">
        <v>81</v>
      </c>
      <c r="N10">
        <v>44000</v>
      </c>
    </row>
    <row r="11" spans="1:14">
      <c r="A11" s="11" t="s">
        <v>37</v>
      </c>
      <c r="B11" s="12">
        <v>42000</v>
      </c>
      <c r="M11" s="11" t="s">
        <v>85</v>
      </c>
      <c r="N11">
        <v>42000</v>
      </c>
    </row>
    <row r="12" spans="1:14">
      <c r="A12" s="11" t="s">
        <v>15</v>
      </c>
      <c r="B12" s="12">
        <v>30000</v>
      </c>
      <c r="M12" s="11" t="s">
        <v>66</v>
      </c>
      <c r="N12">
        <v>30000</v>
      </c>
    </row>
    <row r="13" spans="1:14">
      <c r="A13" s="11" t="s">
        <v>19</v>
      </c>
      <c r="B13" s="12">
        <v>24000</v>
      </c>
      <c r="M13" s="11" t="s">
        <v>68</v>
      </c>
      <c r="N13">
        <v>24000</v>
      </c>
    </row>
    <row r="14" spans="1:14">
      <c r="A14" s="11" t="s">
        <v>143</v>
      </c>
      <c r="B14" s="12">
        <v>927900</v>
      </c>
      <c r="M14" s="11" t="s">
        <v>143</v>
      </c>
      <c r="N14">
        <v>927900</v>
      </c>
    </row>
    <row r="17" spans="1:14">
      <c r="A17" s="10" t="s">
        <v>156</v>
      </c>
      <c r="B17" t="s">
        <v>175</v>
      </c>
      <c r="E17" s="10" t="s">
        <v>154</v>
      </c>
      <c r="F17" t="s">
        <v>216</v>
      </c>
      <c r="I17" s="10" t="s">
        <v>7</v>
      </c>
      <c r="J17" t="s">
        <v>217</v>
      </c>
      <c r="M17" s="10" t="s">
        <v>154</v>
      </c>
      <c r="N17" t="s">
        <v>218</v>
      </c>
    </row>
    <row r="18" spans="1:14">
      <c r="A18" s="11" t="s">
        <v>167</v>
      </c>
      <c r="B18">
        <v>1</v>
      </c>
      <c r="E18" s="11" t="s">
        <v>160</v>
      </c>
      <c r="F18">
        <v>12</v>
      </c>
      <c r="I18" s="11" t="s">
        <v>19</v>
      </c>
      <c r="J18">
        <v>30</v>
      </c>
      <c r="M18" s="11" t="s">
        <v>160</v>
      </c>
      <c r="N18">
        <v>3</v>
      </c>
    </row>
    <row r="19" spans="1:14">
      <c r="A19" s="11" t="s">
        <v>94</v>
      </c>
      <c r="B19">
        <v>7</v>
      </c>
      <c r="E19" s="11" t="s">
        <v>158</v>
      </c>
      <c r="F19">
        <v>9</v>
      </c>
      <c r="I19" s="11" t="s">
        <v>15</v>
      </c>
      <c r="J19">
        <v>25</v>
      </c>
      <c r="M19" s="11" t="s">
        <v>158</v>
      </c>
      <c r="N19">
        <v>3</v>
      </c>
    </row>
    <row r="20" spans="1:14">
      <c r="A20" s="11" t="s">
        <v>103</v>
      </c>
      <c r="B20">
        <v>2</v>
      </c>
      <c r="E20" s="11" t="s">
        <v>164</v>
      </c>
      <c r="F20">
        <v>7</v>
      </c>
      <c r="I20" s="11" t="s">
        <v>34</v>
      </c>
      <c r="J20">
        <v>20</v>
      </c>
      <c r="M20" s="11" t="s">
        <v>162</v>
      </c>
      <c r="N20">
        <v>2</v>
      </c>
    </row>
    <row r="21" spans="1:14">
      <c r="A21" s="11" t="s">
        <v>143</v>
      </c>
      <c r="B21">
        <v>10</v>
      </c>
      <c r="E21" s="11" t="s">
        <v>162</v>
      </c>
      <c r="F21">
        <v>4</v>
      </c>
      <c r="I21" s="11" t="s">
        <v>37</v>
      </c>
      <c r="J21">
        <v>15</v>
      </c>
      <c r="M21" s="11" t="s">
        <v>164</v>
      </c>
      <c r="N21">
        <v>2</v>
      </c>
    </row>
    <row r="22" spans="1:14">
      <c r="E22" s="11" t="s">
        <v>143</v>
      </c>
      <c r="F22">
        <v>32</v>
      </c>
      <c r="I22" s="11" t="s">
        <v>27</v>
      </c>
      <c r="J22">
        <v>12</v>
      </c>
      <c r="M22" s="11" t="s">
        <v>143</v>
      </c>
      <c r="N22">
        <v>10</v>
      </c>
    </row>
    <row r="23" spans="1:14">
      <c r="B23" s="12"/>
      <c r="I23" s="11" t="s">
        <v>13</v>
      </c>
      <c r="J23">
        <v>10</v>
      </c>
    </row>
    <row r="24" spans="1:14">
      <c r="A24" s="10" t="s">
        <v>7</v>
      </c>
      <c r="B24" s="12" t="s">
        <v>219</v>
      </c>
      <c r="I24" s="11" t="s">
        <v>31</v>
      </c>
      <c r="J24">
        <v>9</v>
      </c>
    </row>
    <row r="25" spans="1:14">
      <c r="A25" s="11" t="s">
        <v>13</v>
      </c>
      <c r="B25" s="12">
        <v>1710000</v>
      </c>
      <c r="I25" s="11" t="s">
        <v>24</v>
      </c>
      <c r="J25">
        <v>8</v>
      </c>
    </row>
    <row r="26" spans="1:14">
      <c r="A26" s="11" t="s">
        <v>21</v>
      </c>
      <c r="B26" s="12">
        <v>603000</v>
      </c>
      <c r="I26" s="11" t="s">
        <v>21</v>
      </c>
      <c r="J26">
        <v>6</v>
      </c>
    </row>
    <row r="27" spans="1:14">
      <c r="A27" s="11" t="s">
        <v>24</v>
      </c>
      <c r="B27" s="12">
        <v>301000</v>
      </c>
      <c r="I27" s="11" t="s">
        <v>9</v>
      </c>
      <c r="J27">
        <v>5</v>
      </c>
    </row>
    <row r="28" spans="1:14">
      <c r="A28" s="11" t="s">
        <v>31</v>
      </c>
      <c r="B28" s="12">
        <v>273000</v>
      </c>
      <c r="I28" s="11" t="s">
        <v>143</v>
      </c>
      <c r="J28">
        <v>140</v>
      </c>
    </row>
    <row r="29" spans="1:14">
      <c r="A29" s="11" t="s">
        <v>27</v>
      </c>
      <c r="B29" s="12">
        <v>187500</v>
      </c>
    </row>
    <row r="30" spans="1:14">
      <c r="A30" s="11" t="s">
        <v>15</v>
      </c>
      <c r="B30" s="12">
        <v>168000</v>
      </c>
    </row>
    <row r="31" spans="1:14">
      <c r="A31" s="11" t="s">
        <v>37</v>
      </c>
      <c r="B31" s="12">
        <v>157500</v>
      </c>
    </row>
    <row r="32" spans="1:14">
      <c r="A32" s="11" t="s">
        <v>34</v>
      </c>
      <c r="B32" s="12">
        <v>156000</v>
      </c>
    </row>
    <row r="33" spans="1:2">
      <c r="A33" s="11" t="s">
        <v>19</v>
      </c>
      <c r="B33" s="12">
        <v>91000</v>
      </c>
    </row>
    <row r="34" spans="1:2">
      <c r="A34" s="11" t="s">
        <v>143</v>
      </c>
      <c r="B34" s="12">
        <v>3647000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93FB5-AB1C-4F6D-9739-691CC09FFDC8}">
  <dimension ref="A1:I11"/>
  <sheetViews>
    <sheetView zoomScale="93" zoomScaleNormal="93" workbookViewId="0">
      <selection activeCell="E3" sqref="E3"/>
    </sheetView>
  </sheetViews>
  <sheetFormatPr defaultRowHeight="14.5"/>
  <cols>
    <col min="1" max="1" width="12.1796875" customWidth="1"/>
    <col min="2" max="2" width="15.453125" customWidth="1"/>
    <col min="3" max="3" width="10.7265625" bestFit="1" customWidth="1"/>
    <col min="4" max="4" width="11.26953125" customWidth="1"/>
    <col min="5" max="5" width="13.90625" customWidth="1"/>
    <col min="6" max="6" width="11.90625" customWidth="1"/>
    <col min="7" max="7" width="13.81640625" customWidth="1"/>
    <col min="8" max="8" width="15" customWidth="1"/>
    <col min="9" max="9" width="12.7265625" customWidth="1"/>
  </cols>
  <sheetData>
    <row r="1" spans="1:9">
      <c r="A1" s="1" t="s">
        <v>7</v>
      </c>
      <c r="B1" s="1" t="s">
        <v>6</v>
      </c>
      <c r="C1" s="1" t="s">
        <v>0</v>
      </c>
      <c r="D1" s="3" t="s">
        <v>5</v>
      </c>
      <c r="E1" s="3" t="s">
        <v>4</v>
      </c>
      <c r="F1" s="3" t="s">
        <v>3</v>
      </c>
      <c r="G1" s="3" t="s">
        <v>2</v>
      </c>
      <c r="H1" s="3" t="s">
        <v>8</v>
      </c>
      <c r="I1" s="1" t="s">
        <v>1</v>
      </c>
    </row>
    <row r="2" spans="1:9">
      <c r="A2" s="4" t="s">
        <v>9</v>
      </c>
      <c r="B2" s="4" t="s">
        <v>10</v>
      </c>
      <c r="C2" s="4" t="s">
        <v>11</v>
      </c>
      <c r="D2" s="2">
        <v>45000</v>
      </c>
      <c r="E2" s="2">
        <v>55000</v>
      </c>
      <c r="F2" s="2">
        <v>10</v>
      </c>
      <c r="G2" s="2">
        <v>20</v>
      </c>
      <c r="H2" s="2">
        <v>50</v>
      </c>
      <c r="I2" s="4" t="s">
        <v>12</v>
      </c>
    </row>
    <row r="3" spans="1:9">
      <c r="A3" s="4" t="s">
        <v>13</v>
      </c>
      <c r="B3" s="4" t="s">
        <v>14</v>
      </c>
      <c r="C3" s="4" t="s">
        <v>11</v>
      </c>
      <c r="D3" s="2">
        <v>18000</v>
      </c>
      <c r="E3" s="2">
        <v>25000</v>
      </c>
      <c r="F3" s="2">
        <v>7</v>
      </c>
      <c r="G3" s="2">
        <v>30</v>
      </c>
      <c r="H3" s="2">
        <v>70</v>
      </c>
      <c r="I3" s="4" t="s">
        <v>12</v>
      </c>
    </row>
    <row r="4" spans="1:9">
      <c r="A4" s="4" t="s">
        <v>15</v>
      </c>
      <c r="B4" s="4" t="s">
        <v>16</v>
      </c>
      <c r="C4" s="4" t="s">
        <v>17</v>
      </c>
      <c r="D4" s="2">
        <v>600</v>
      </c>
      <c r="E4" s="2">
        <v>1200</v>
      </c>
      <c r="F4" s="2">
        <v>5</v>
      </c>
      <c r="G4" s="2">
        <v>50</v>
      </c>
      <c r="H4" s="2">
        <v>100</v>
      </c>
      <c r="I4" s="4" t="s">
        <v>18</v>
      </c>
    </row>
    <row r="5" spans="1:9">
      <c r="A5" s="4" t="s">
        <v>19</v>
      </c>
      <c r="B5" s="4" t="s">
        <v>20</v>
      </c>
      <c r="C5" s="4" t="s">
        <v>17</v>
      </c>
      <c r="D5" s="2">
        <v>350</v>
      </c>
      <c r="E5" s="2">
        <v>800</v>
      </c>
      <c r="F5" s="2">
        <v>4</v>
      </c>
      <c r="G5" s="2">
        <v>60</v>
      </c>
      <c r="H5" s="2">
        <v>120</v>
      </c>
      <c r="I5" s="4" t="s">
        <v>18</v>
      </c>
    </row>
    <row r="6" spans="1:9">
      <c r="A6" s="4" t="s">
        <v>21</v>
      </c>
      <c r="B6" s="4" t="s">
        <v>22</v>
      </c>
      <c r="C6" s="4" t="s">
        <v>11</v>
      </c>
      <c r="D6" s="2">
        <v>9000</v>
      </c>
      <c r="E6" s="2">
        <v>13000</v>
      </c>
      <c r="F6" s="2">
        <v>8</v>
      </c>
      <c r="G6" s="2">
        <v>25</v>
      </c>
      <c r="H6" s="2">
        <v>60</v>
      </c>
      <c r="I6" s="4" t="s">
        <v>23</v>
      </c>
    </row>
    <row r="7" spans="1:9">
      <c r="A7" s="4" t="s">
        <v>24</v>
      </c>
      <c r="B7" s="4" t="s">
        <v>25</v>
      </c>
      <c r="C7" s="4" t="s">
        <v>26</v>
      </c>
      <c r="D7" s="2">
        <v>7000</v>
      </c>
      <c r="E7" s="2">
        <v>9500</v>
      </c>
      <c r="F7" s="2">
        <v>12</v>
      </c>
      <c r="G7" s="2">
        <v>15</v>
      </c>
      <c r="H7" s="2">
        <v>40</v>
      </c>
      <c r="I7" s="4" t="s">
        <v>23</v>
      </c>
    </row>
    <row r="8" spans="1:9">
      <c r="A8" s="4" t="s">
        <v>27</v>
      </c>
      <c r="B8" s="4" t="s">
        <v>28</v>
      </c>
      <c r="C8" s="4" t="s">
        <v>29</v>
      </c>
      <c r="D8" s="2">
        <v>2500</v>
      </c>
      <c r="E8" s="2">
        <v>4200</v>
      </c>
      <c r="F8" s="2">
        <v>6</v>
      </c>
      <c r="G8" s="2">
        <v>35</v>
      </c>
      <c r="H8" s="2">
        <v>80</v>
      </c>
      <c r="I8" s="4" t="s">
        <v>30</v>
      </c>
    </row>
    <row r="9" spans="1:9">
      <c r="A9" s="4" t="s">
        <v>31</v>
      </c>
      <c r="B9" s="4" t="s">
        <v>32</v>
      </c>
      <c r="C9" s="4" t="s">
        <v>33</v>
      </c>
      <c r="D9" s="2">
        <v>4200</v>
      </c>
      <c r="E9" s="2">
        <v>6500</v>
      </c>
      <c r="F9" s="2">
        <v>9</v>
      </c>
      <c r="G9" s="2">
        <v>25</v>
      </c>
      <c r="H9" s="2">
        <v>55</v>
      </c>
      <c r="I9" s="4" t="s">
        <v>30</v>
      </c>
    </row>
    <row r="10" spans="1:9">
      <c r="A10" s="4" t="s">
        <v>34</v>
      </c>
      <c r="B10" s="4" t="s">
        <v>35</v>
      </c>
      <c r="C10" s="4" t="s">
        <v>17</v>
      </c>
      <c r="D10" s="2">
        <v>1200</v>
      </c>
      <c r="E10" s="2">
        <v>2200</v>
      </c>
      <c r="F10" s="2">
        <v>5</v>
      </c>
      <c r="G10" s="2">
        <v>40</v>
      </c>
      <c r="H10" s="2">
        <v>90</v>
      </c>
      <c r="I10" s="4" t="s">
        <v>36</v>
      </c>
    </row>
    <row r="11" spans="1:9">
      <c r="A11" s="4" t="s">
        <v>37</v>
      </c>
      <c r="B11" s="4" t="s">
        <v>38</v>
      </c>
      <c r="C11" s="4" t="s">
        <v>17</v>
      </c>
      <c r="D11" s="2">
        <v>1500</v>
      </c>
      <c r="E11" s="2">
        <v>2800</v>
      </c>
      <c r="F11" s="2">
        <v>6</v>
      </c>
      <c r="G11" s="2">
        <v>45</v>
      </c>
      <c r="H11" s="2">
        <v>95</v>
      </c>
      <c r="I11" s="4" t="s">
        <v>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98FBA-6701-4849-82DA-68380DAB2669}">
  <dimension ref="A1:F6"/>
  <sheetViews>
    <sheetView workbookViewId="0">
      <selection activeCell="F2" sqref="F2"/>
    </sheetView>
  </sheetViews>
  <sheetFormatPr defaultRowHeight="14.5"/>
  <cols>
    <col min="1" max="1" width="12.54296875" customWidth="1"/>
    <col min="2" max="2" width="15.6328125" customWidth="1"/>
    <col min="3" max="3" width="9.54296875" bestFit="1" customWidth="1"/>
    <col min="4" max="4" width="9.453125" customWidth="1"/>
    <col min="5" max="5" width="16.6328125" customWidth="1"/>
    <col min="6" max="6" width="8.1796875" customWidth="1"/>
  </cols>
  <sheetData>
    <row r="1" spans="1:6">
      <c r="A1" s="1" t="s">
        <v>1</v>
      </c>
      <c r="B1" s="1" t="s">
        <v>39</v>
      </c>
      <c r="C1" s="1" t="s">
        <v>40</v>
      </c>
      <c r="D1" s="1" t="s">
        <v>41</v>
      </c>
      <c r="E1" s="1" t="s">
        <v>42</v>
      </c>
      <c r="F1" s="1" t="s">
        <v>43</v>
      </c>
    </row>
    <row r="2" spans="1:6">
      <c r="A2" s="4" t="s">
        <v>12</v>
      </c>
      <c r="B2" s="4" t="s">
        <v>44</v>
      </c>
      <c r="C2" s="4" t="s">
        <v>45</v>
      </c>
      <c r="D2" s="4" t="s">
        <v>46</v>
      </c>
      <c r="E2" s="4">
        <v>10</v>
      </c>
      <c r="F2" s="4">
        <v>4.8</v>
      </c>
    </row>
    <row r="3" spans="1:6">
      <c r="A3" s="4" t="s">
        <v>18</v>
      </c>
      <c r="B3" s="4" t="s">
        <v>47</v>
      </c>
      <c r="C3" s="4" t="s">
        <v>48</v>
      </c>
      <c r="D3" s="4" t="s">
        <v>46</v>
      </c>
      <c r="E3" s="4">
        <v>5</v>
      </c>
      <c r="F3" s="4">
        <v>4.5</v>
      </c>
    </row>
    <row r="4" spans="1:6">
      <c r="A4" s="4" t="s">
        <v>23</v>
      </c>
      <c r="B4" s="4" t="s">
        <v>49</v>
      </c>
      <c r="C4" s="4" t="s">
        <v>50</v>
      </c>
      <c r="D4" s="4" t="s">
        <v>46</v>
      </c>
      <c r="E4" s="4">
        <v>12</v>
      </c>
      <c r="F4" s="4">
        <v>4.5999999999999996</v>
      </c>
    </row>
    <row r="5" spans="1:6" ht="29">
      <c r="A5" s="4" t="s">
        <v>30</v>
      </c>
      <c r="B5" s="4" t="s">
        <v>51</v>
      </c>
      <c r="C5" s="4" t="s">
        <v>52</v>
      </c>
      <c r="D5" s="4" t="s">
        <v>46</v>
      </c>
      <c r="E5" s="4">
        <v>8</v>
      </c>
      <c r="F5" s="4">
        <v>4.7</v>
      </c>
    </row>
    <row r="6" spans="1:6">
      <c r="A6" s="4" t="s">
        <v>36</v>
      </c>
      <c r="B6" s="4" t="s">
        <v>53</v>
      </c>
      <c r="C6" s="4" t="s">
        <v>54</v>
      </c>
      <c r="D6" s="4" t="s">
        <v>46</v>
      </c>
      <c r="E6" s="4">
        <v>6</v>
      </c>
      <c r="F6" s="4">
        <v>4.4000000000000004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8DD86-59F9-4E31-8589-C11D7B200CB2}">
  <dimension ref="A1:E11"/>
  <sheetViews>
    <sheetView topLeftCell="A2" zoomScale="63" workbookViewId="0">
      <selection activeCell="B6" sqref="B6"/>
    </sheetView>
  </sheetViews>
  <sheetFormatPr defaultRowHeight="14.5"/>
  <cols>
    <col min="1" max="1" width="16.1796875" bestFit="1" customWidth="1"/>
    <col min="2" max="2" width="19.36328125" bestFit="1" customWidth="1"/>
    <col min="3" max="3" width="9.54296875" bestFit="1" customWidth="1"/>
    <col min="4" max="4" width="11.08984375" bestFit="1" customWidth="1"/>
    <col min="5" max="5" width="18.36328125" bestFit="1" customWidth="1"/>
  </cols>
  <sheetData>
    <row r="1" spans="1:5">
      <c r="A1" s="1" t="s">
        <v>55</v>
      </c>
      <c r="B1" s="1" t="s">
        <v>56</v>
      </c>
      <c r="C1" s="1" t="s">
        <v>40</v>
      </c>
      <c r="D1" s="1" t="s">
        <v>57</v>
      </c>
      <c r="E1" s="1" t="s">
        <v>58</v>
      </c>
    </row>
    <row r="2" spans="1:5">
      <c r="A2" s="4" t="s">
        <v>59</v>
      </c>
      <c r="B2" s="4" t="s">
        <v>60</v>
      </c>
      <c r="C2" s="4" t="s">
        <v>50</v>
      </c>
      <c r="D2" s="4" t="s">
        <v>61</v>
      </c>
      <c r="E2" s="4" t="s">
        <v>62</v>
      </c>
    </row>
    <row r="3" spans="1:5">
      <c r="A3" s="4" t="s">
        <v>63</v>
      </c>
      <c r="B3" s="4" t="s">
        <v>64</v>
      </c>
      <c r="C3" s="4" t="s">
        <v>45</v>
      </c>
      <c r="D3" s="4" t="s">
        <v>65</v>
      </c>
      <c r="E3" s="4" t="s">
        <v>62</v>
      </c>
    </row>
    <row r="4" spans="1:5">
      <c r="A4" s="4" t="s">
        <v>66</v>
      </c>
      <c r="B4" s="4" t="s">
        <v>67</v>
      </c>
      <c r="C4" s="4" t="s">
        <v>48</v>
      </c>
      <c r="D4" s="4" t="s">
        <v>48</v>
      </c>
      <c r="E4" s="4" t="s">
        <v>62</v>
      </c>
    </row>
    <row r="5" spans="1:5">
      <c r="A5" s="4" t="s">
        <v>68</v>
      </c>
      <c r="B5" s="4" t="s">
        <v>69</v>
      </c>
      <c r="C5" s="4" t="s">
        <v>52</v>
      </c>
      <c r="D5" s="4" t="s">
        <v>70</v>
      </c>
      <c r="E5" s="4" t="s">
        <v>71</v>
      </c>
    </row>
    <row r="6" spans="1:5">
      <c r="A6" s="4" t="s">
        <v>72</v>
      </c>
      <c r="B6" s="4" t="s">
        <v>73</v>
      </c>
      <c r="C6" s="4" t="s">
        <v>45</v>
      </c>
      <c r="D6" s="4" t="s">
        <v>65</v>
      </c>
      <c r="E6" s="4" t="s">
        <v>71</v>
      </c>
    </row>
    <row r="7" spans="1:5">
      <c r="A7" s="4" t="s">
        <v>74</v>
      </c>
      <c r="B7" s="4" t="s">
        <v>75</v>
      </c>
      <c r="C7" s="4" t="s">
        <v>50</v>
      </c>
      <c r="D7" s="4" t="s">
        <v>61</v>
      </c>
      <c r="E7" s="4" t="s">
        <v>71</v>
      </c>
    </row>
    <row r="8" spans="1:5">
      <c r="A8" s="4" t="s">
        <v>76</v>
      </c>
      <c r="B8" s="4" t="s">
        <v>77</v>
      </c>
      <c r="C8" s="4" t="s">
        <v>54</v>
      </c>
      <c r="D8" s="4" t="s">
        <v>78</v>
      </c>
      <c r="E8" s="4" t="s">
        <v>62</v>
      </c>
    </row>
    <row r="9" spans="1:5">
      <c r="A9" s="4" t="s">
        <v>79</v>
      </c>
      <c r="B9" s="4" t="s">
        <v>80</v>
      </c>
      <c r="C9" s="4" t="s">
        <v>45</v>
      </c>
      <c r="D9" s="4" t="s">
        <v>65</v>
      </c>
      <c r="E9" s="4" t="s">
        <v>62</v>
      </c>
    </row>
    <row r="10" spans="1:5" ht="29">
      <c r="A10" s="4" t="s">
        <v>81</v>
      </c>
      <c r="B10" s="4" t="s">
        <v>82</v>
      </c>
      <c r="C10" s="4" t="s">
        <v>83</v>
      </c>
      <c r="D10" s="4" t="s">
        <v>84</v>
      </c>
      <c r="E10" s="4" t="s">
        <v>62</v>
      </c>
    </row>
    <row r="11" spans="1:5">
      <c r="A11" s="4" t="s">
        <v>85</v>
      </c>
      <c r="B11" s="4" t="s">
        <v>86</v>
      </c>
      <c r="C11" s="4" t="s">
        <v>45</v>
      </c>
      <c r="D11" s="4" t="s">
        <v>65</v>
      </c>
      <c r="E11" s="4" t="s">
        <v>62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D8114-BE40-4F4B-9A39-94AD2F3DB935}">
  <dimension ref="A1:K11"/>
  <sheetViews>
    <sheetView workbookViewId="0">
      <selection activeCell="E9" sqref="E9"/>
    </sheetView>
  </sheetViews>
  <sheetFormatPr defaultRowHeight="14.5"/>
  <cols>
    <col min="1" max="1" width="18.7265625" customWidth="1"/>
    <col min="2" max="2" width="12.1796875" customWidth="1"/>
    <col min="3" max="3" width="14.54296875" bestFit="1" customWidth="1"/>
    <col min="4" max="4" width="15.08984375" bestFit="1" customWidth="1"/>
    <col min="5" max="5" width="12.54296875" bestFit="1" customWidth="1"/>
    <col min="6" max="6" width="13.54296875" bestFit="1" customWidth="1"/>
    <col min="7" max="7" width="14.08984375" bestFit="1" customWidth="1"/>
    <col min="8" max="8" width="18.1796875" customWidth="1"/>
    <col min="11" max="11" width="9.08984375" bestFit="1" customWidth="1"/>
  </cols>
  <sheetData>
    <row r="1" spans="1:11">
      <c r="A1" s="1" t="s">
        <v>87</v>
      </c>
      <c r="B1" s="1" t="s">
        <v>88</v>
      </c>
      <c r="C1" s="1" t="s">
        <v>7</v>
      </c>
      <c r="D1" s="1" t="s">
        <v>1</v>
      </c>
      <c r="E1" s="1" t="s">
        <v>89</v>
      </c>
      <c r="F1" s="1" t="s">
        <v>5</v>
      </c>
      <c r="G1" s="1" t="s">
        <v>90</v>
      </c>
      <c r="H1" s="1" t="s">
        <v>91</v>
      </c>
      <c r="I1" s="1" t="s">
        <v>92</v>
      </c>
    </row>
    <row r="2" spans="1:11">
      <c r="A2" s="4" t="s">
        <v>93</v>
      </c>
      <c r="B2" s="5">
        <v>46028</v>
      </c>
      <c r="C2" s="4" t="s">
        <v>9</v>
      </c>
      <c r="D2" s="4" t="s">
        <v>12</v>
      </c>
      <c r="E2" s="2">
        <v>20</v>
      </c>
      <c r="F2">
        <f>_xlfn.XLOOKUP(Table6[[#This Row],[Product_ID]],products[Product_ID],products[Unit_Cost])</f>
        <v>45000</v>
      </c>
      <c r="G2">
        <f>Table6[[#This Row],[Quantity]]*Table6[[#This Row],[Unit_Cost]]</f>
        <v>900000</v>
      </c>
      <c r="H2">
        <f>B2+_xlfn.XLOOKUP(D2,Suppliers!A:A,Suppliers!E:E)</f>
        <v>46038</v>
      </c>
      <c r="I2" s="4" t="s">
        <v>94</v>
      </c>
    </row>
    <row r="3" spans="1:11">
      <c r="A3" s="4" t="s">
        <v>95</v>
      </c>
      <c r="B3" s="5">
        <v>46059</v>
      </c>
      <c r="C3" s="4" t="s">
        <v>13</v>
      </c>
      <c r="D3" s="4" t="s">
        <v>12</v>
      </c>
      <c r="E3" s="2">
        <v>35</v>
      </c>
      <c r="F3">
        <f>_xlfn.XLOOKUP(Table6[[#This Row],[Product_ID]],products[Product_ID],products[Unit_Cost])</f>
        <v>18000</v>
      </c>
      <c r="G3">
        <f>Table6[[#This Row],[Quantity]]*Table6[[#This Row],[Unit_Cost]]</f>
        <v>630000</v>
      </c>
      <c r="H3">
        <f>B3+_xlfn.XLOOKUP(D3,Suppliers!A:A,Suppliers!E:E)</f>
        <v>46069</v>
      </c>
      <c r="I3" s="4" t="s">
        <v>94</v>
      </c>
      <c r="K3" s="6"/>
    </row>
    <row r="4" spans="1:11">
      <c r="A4" s="4" t="s">
        <v>96</v>
      </c>
      <c r="B4" s="5">
        <v>46087</v>
      </c>
      <c r="C4" s="4" t="s">
        <v>15</v>
      </c>
      <c r="D4" s="4" t="s">
        <v>18</v>
      </c>
      <c r="E4" s="2">
        <v>100</v>
      </c>
      <c r="F4">
        <f>_xlfn.XLOOKUP(Table6[[#This Row],[Product_ID]],products[Product_ID],products[Unit_Cost])</f>
        <v>600</v>
      </c>
      <c r="G4">
        <f>Table6[[#This Row],[Quantity]]*Table6[[#This Row],[Unit_Cost]]</f>
        <v>60000</v>
      </c>
      <c r="H4">
        <f>B4+_xlfn.XLOOKUP(D4,Suppliers!A:A,Suppliers!E:E)</f>
        <v>46092</v>
      </c>
      <c r="I4" s="4" t="s">
        <v>94</v>
      </c>
    </row>
    <row r="5" spans="1:11">
      <c r="A5" s="4" t="s">
        <v>97</v>
      </c>
      <c r="B5" s="5">
        <v>46118</v>
      </c>
      <c r="C5" s="4" t="s">
        <v>19</v>
      </c>
      <c r="D5" s="4" t="s">
        <v>18</v>
      </c>
      <c r="E5" s="2">
        <v>150</v>
      </c>
      <c r="F5">
        <f>_xlfn.XLOOKUP(Table6[[#This Row],[Product_ID]],products[Product_ID],products[Unit_Cost])</f>
        <v>350</v>
      </c>
      <c r="G5">
        <f>Table6[[#This Row],[Quantity]]*Table6[[#This Row],[Unit_Cost]]</f>
        <v>52500</v>
      </c>
      <c r="H5">
        <f>B5+_xlfn.XLOOKUP(D5,Suppliers!A:A,Suppliers!E:E)</f>
        <v>46123</v>
      </c>
      <c r="I5" s="4" t="s">
        <v>98</v>
      </c>
    </row>
    <row r="6" spans="1:11">
      <c r="A6" s="4" t="s">
        <v>99</v>
      </c>
      <c r="B6" s="5">
        <v>46148</v>
      </c>
      <c r="C6" s="4" t="s">
        <v>21</v>
      </c>
      <c r="D6" s="4" t="s">
        <v>23</v>
      </c>
      <c r="E6" s="2">
        <v>25</v>
      </c>
      <c r="F6">
        <f>_xlfn.XLOOKUP(Table6[[#This Row],[Product_ID]],products[Product_ID],products[Unit_Cost])</f>
        <v>9000</v>
      </c>
      <c r="G6">
        <f>Table6[[#This Row],[Quantity]]*Table6[[#This Row],[Unit_Cost]]</f>
        <v>225000</v>
      </c>
      <c r="H6">
        <f>B6+_xlfn.XLOOKUP(D6,Suppliers!A:A,Suppliers!E:E)</f>
        <v>46160</v>
      </c>
      <c r="I6" s="4" t="s">
        <v>94</v>
      </c>
    </row>
    <row r="7" spans="1:11">
      <c r="A7" s="4" t="s">
        <v>100</v>
      </c>
      <c r="B7" s="5">
        <v>46179</v>
      </c>
      <c r="C7" s="4" t="s">
        <v>24</v>
      </c>
      <c r="D7" s="4" t="s">
        <v>23</v>
      </c>
      <c r="E7" s="2">
        <v>18</v>
      </c>
      <c r="F7">
        <f>_xlfn.XLOOKUP(Table6[[#This Row],[Product_ID]],products[Product_ID],products[Unit_Cost])</f>
        <v>7000</v>
      </c>
      <c r="G7">
        <f>Table6[[#This Row],[Quantity]]*Table6[[#This Row],[Unit_Cost]]</f>
        <v>126000</v>
      </c>
      <c r="H7">
        <f>B7+_xlfn.XLOOKUP(D7,Suppliers!A:A,Suppliers!E:E)</f>
        <v>46191</v>
      </c>
      <c r="I7" s="4" t="s">
        <v>98</v>
      </c>
    </row>
    <row r="8" spans="1:11">
      <c r="A8" s="4" t="s">
        <v>101</v>
      </c>
      <c r="B8" s="5">
        <v>46209</v>
      </c>
      <c r="C8" s="4" t="s">
        <v>27</v>
      </c>
      <c r="D8" s="4" t="s">
        <v>30</v>
      </c>
      <c r="E8" s="2">
        <v>40</v>
      </c>
      <c r="F8">
        <f>_xlfn.XLOOKUP(Table6[[#This Row],[Product_ID]],products[Product_ID],products[Unit_Cost])</f>
        <v>2500</v>
      </c>
      <c r="G8">
        <f>Table6[[#This Row],[Quantity]]*Table6[[#This Row],[Unit_Cost]]</f>
        <v>100000</v>
      </c>
      <c r="H8">
        <f>B8+_xlfn.XLOOKUP(D8,Suppliers!A:A,Suppliers!E:E)</f>
        <v>46217</v>
      </c>
      <c r="I8" s="4" t="s">
        <v>94</v>
      </c>
    </row>
    <row r="9" spans="1:11">
      <c r="A9" s="4" t="s">
        <v>102</v>
      </c>
      <c r="B9" s="5">
        <v>46240</v>
      </c>
      <c r="C9" s="4" t="s">
        <v>31</v>
      </c>
      <c r="D9" s="4" t="s">
        <v>30</v>
      </c>
      <c r="E9" s="2">
        <v>30</v>
      </c>
      <c r="F9">
        <f>_xlfn.XLOOKUP(Table6[[#This Row],[Product_ID]],products[Product_ID],products[Unit_Cost])</f>
        <v>4200</v>
      </c>
      <c r="G9">
        <f>Table6[[#This Row],[Quantity]]*Table6[[#This Row],[Unit_Cost]]</f>
        <v>126000</v>
      </c>
      <c r="H9">
        <f>B9+_xlfn.XLOOKUP(D9,Suppliers!A:A,Suppliers!E:E)</f>
        <v>46248</v>
      </c>
      <c r="I9" s="4" t="s">
        <v>103</v>
      </c>
    </row>
    <row r="10" spans="1:11">
      <c r="A10" s="4" t="s">
        <v>104</v>
      </c>
      <c r="B10" s="5">
        <v>46271</v>
      </c>
      <c r="C10" s="4" t="s">
        <v>34</v>
      </c>
      <c r="D10" s="4" t="s">
        <v>36</v>
      </c>
      <c r="E10" s="2">
        <v>60</v>
      </c>
      <c r="F10">
        <f>_xlfn.XLOOKUP(Table6[[#This Row],[Product_ID]],products[Product_ID],products[Unit_Cost])</f>
        <v>1200</v>
      </c>
      <c r="G10">
        <f>Table6[[#This Row],[Quantity]]*Table6[[#This Row],[Unit_Cost]]</f>
        <v>72000</v>
      </c>
      <c r="H10">
        <f>B10+_xlfn.XLOOKUP(D10,Suppliers!A:A,Suppliers!E:E)</f>
        <v>46277</v>
      </c>
      <c r="I10" s="4" t="s">
        <v>94</v>
      </c>
    </row>
    <row r="11" spans="1:11">
      <c r="A11" s="4" t="s">
        <v>105</v>
      </c>
      <c r="B11" s="5">
        <v>46301</v>
      </c>
      <c r="C11" s="4" t="s">
        <v>37</v>
      </c>
      <c r="D11" s="4" t="s">
        <v>36</v>
      </c>
      <c r="E11" s="2">
        <v>45</v>
      </c>
      <c r="F11">
        <f>_xlfn.XLOOKUP(Table6[[#This Row],[Product_ID]],products[Product_ID],products[Unit_Cost])</f>
        <v>1500</v>
      </c>
      <c r="G11">
        <f>Table6[[#This Row],[Quantity]]*Table6[[#This Row],[Unit_Cost]]</f>
        <v>67500</v>
      </c>
      <c r="H11">
        <f>B11+_xlfn.XLOOKUP(D11,Suppliers!A:A,Suppliers!E:E)</f>
        <v>46307</v>
      </c>
      <c r="I11" s="4" t="s">
        <v>103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0EA6B-8852-49B0-AFB0-C2BAAE050167}">
  <dimension ref="A1:H10"/>
  <sheetViews>
    <sheetView workbookViewId="0">
      <selection activeCell="D6" sqref="D6"/>
    </sheetView>
  </sheetViews>
  <sheetFormatPr defaultRowHeight="14.5"/>
  <cols>
    <col min="1" max="1" width="13.26953125" customWidth="1"/>
    <col min="2" max="2" width="12" customWidth="1"/>
    <col min="3" max="3" width="15.36328125" customWidth="1"/>
    <col min="4" max="4" width="10" customWidth="1"/>
    <col min="5" max="5" width="11.36328125" customWidth="1"/>
    <col min="6" max="6" width="14.7265625" customWidth="1"/>
    <col min="7" max="7" width="16.1796875" customWidth="1"/>
    <col min="8" max="8" width="13.7265625" customWidth="1"/>
  </cols>
  <sheetData>
    <row r="1" spans="1:8">
      <c r="A1" s="4" t="s">
        <v>106</v>
      </c>
      <c r="B1" s="4" t="s">
        <v>7</v>
      </c>
      <c r="C1" s="2" t="s">
        <v>107</v>
      </c>
      <c r="D1" s="2" t="s">
        <v>108</v>
      </c>
      <c r="E1" s="2" t="s">
        <v>109</v>
      </c>
      <c r="F1" s="2" t="s">
        <v>120</v>
      </c>
      <c r="G1" s="2" t="s">
        <v>121</v>
      </c>
      <c r="H1" s="4" t="s">
        <v>122</v>
      </c>
    </row>
    <row r="2" spans="1:8">
      <c r="A2" s="4" t="s">
        <v>110</v>
      </c>
      <c r="B2" s="4" t="s">
        <v>13</v>
      </c>
      <c r="C2" s="2">
        <v>80</v>
      </c>
      <c r="D2" s="2">
        <v>35</v>
      </c>
      <c r="E2" s="2">
        <v>20</v>
      </c>
      <c r="F2">
        <f>C2+D2-E2</f>
        <v>95</v>
      </c>
      <c r="G2">
        <f>F2*_xlfn.XLOOKUP(B2,products[Product_ID],products[Unit_Cost])</f>
        <v>1710000</v>
      </c>
      <c r="H2" t="str">
        <f>IF(F2&lt;=_xlfn.XLOOKUP(B2,products[Product_ID],products[Reorder_Point],0),"Reorder","In Stock")</f>
        <v>In Stock</v>
      </c>
    </row>
    <row r="3" spans="1:8">
      <c r="A3" s="4" t="s">
        <v>111</v>
      </c>
      <c r="B3" s="4" t="s">
        <v>15</v>
      </c>
      <c r="C3" s="2">
        <v>300</v>
      </c>
      <c r="D3" s="2">
        <v>100</v>
      </c>
      <c r="E3" s="2">
        <v>120</v>
      </c>
      <c r="F3">
        <f t="shared" ref="F3:F10" si="0">C3+D3-E3</f>
        <v>280</v>
      </c>
      <c r="G3">
        <f>F3*_xlfn.XLOOKUP(B3,products[Product_ID],products[Unit_Cost])</f>
        <v>168000</v>
      </c>
      <c r="H3" t="str">
        <f>IF(F3&lt;=_xlfn.XLOOKUP(B3,products[Product_ID],products[Reorder_Point],0),"Reorder","In Stock")</f>
        <v>In Stock</v>
      </c>
    </row>
    <row r="4" spans="1:8">
      <c r="A4" s="4" t="s">
        <v>112</v>
      </c>
      <c r="B4" s="4" t="s">
        <v>19</v>
      </c>
      <c r="C4" s="2">
        <v>250</v>
      </c>
      <c r="D4" s="2">
        <v>150</v>
      </c>
      <c r="E4" s="2">
        <v>140</v>
      </c>
      <c r="F4">
        <f t="shared" si="0"/>
        <v>260</v>
      </c>
      <c r="G4">
        <f>F4*_xlfn.XLOOKUP(B4,products[Product_ID],products[Unit_Cost])</f>
        <v>91000</v>
      </c>
      <c r="H4" t="str">
        <f>IF(F4&lt;=_xlfn.XLOOKUP(B4,products[Product_ID],products[Reorder_Point],0),"Reorder","In Stock")</f>
        <v>In Stock</v>
      </c>
    </row>
    <row r="5" spans="1:8">
      <c r="A5" s="4" t="s">
        <v>113</v>
      </c>
      <c r="B5" s="4" t="s">
        <v>21</v>
      </c>
      <c r="C5" s="2">
        <v>60</v>
      </c>
      <c r="D5" s="2">
        <v>25</v>
      </c>
      <c r="E5" s="2">
        <v>18</v>
      </c>
      <c r="F5">
        <f t="shared" si="0"/>
        <v>67</v>
      </c>
      <c r="G5">
        <f>F5*_xlfn.XLOOKUP(B5,products[Product_ID],products[Unit_Cost])</f>
        <v>603000</v>
      </c>
      <c r="H5" t="str">
        <f>IF(F5&lt;=_xlfn.XLOOKUP(B5,products[Product_ID],products[Reorder_Point],0),"Reorder","In Stock")</f>
        <v>In Stock</v>
      </c>
    </row>
    <row r="6" spans="1:8">
      <c r="A6" s="4" t="s">
        <v>114</v>
      </c>
      <c r="B6" s="4" t="s">
        <v>24</v>
      </c>
      <c r="C6" s="2">
        <v>40</v>
      </c>
      <c r="D6" s="2">
        <v>18</v>
      </c>
      <c r="E6" s="2">
        <v>15</v>
      </c>
      <c r="F6">
        <f t="shared" si="0"/>
        <v>43</v>
      </c>
      <c r="G6">
        <f>F6*_xlfn.XLOOKUP(B6,products[Product_ID],products[Unit_Cost])</f>
        <v>301000</v>
      </c>
      <c r="H6" t="str">
        <f>IF(F6&lt;=_xlfn.XLOOKUP(B6,products[Product_ID],products[Reorder_Point],0),"Reorder","In Stock")</f>
        <v>In Stock</v>
      </c>
    </row>
    <row r="7" spans="1:8">
      <c r="A7" s="4" t="s">
        <v>115</v>
      </c>
      <c r="B7" s="4" t="s">
        <v>27</v>
      </c>
      <c r="C7" s="2">
        <v>90</v>
      </c>
      <c r="D7" s="2">
        <v>40</v>
      </c>
      <c r="E7" s="2">
        <v>55</v>
      </c>
      <c r="F7">
        <f t="shared" si="0"/>
        <v>75</v>
      </c>
      <c r="G7">
        <f>F7*_xlfn.XLOOKUP(B7,products[Product_ID],products[Unit_Cost])</f>
        <v>187500</v>
      </c>
      <c r="H7" t="str">
        <f>IF(F7&lt;=_xlfn.XLOOKUP(B7,products[Product_ID],products[Reorder_Point],0),"Reorder","In Stock")</f>
        <v>Reorder</v>
      </c>
    </row>
    <row r="8" spans="1:8">
      <c r="A8" s="4" t="s">
        <v>116</v>
      </c>
      <c r="B8" s="4" t="s">
        <v>31</v>
      </c>
      <c r="C8" s="2">
        <v>75</v>
      </c>
      <c r="D8" s="2">
        <v>30</v>
      </c>
      <c r="E8" s="2">
        <v>40</v>
      </c>
      <c r="F8">
        <f t="shared" si="0"/>
        <v>65</v>
      </c>
      <c r="G8">
        <f>F8*_xlfn.XLOOKUP(B8,products[Product_ID],products[Unit_Cost])</f>
        <v>273000</v>
      </c>
      <c r="H8" t="str">
        <f>IF(F8&lt;=_xlfn.XLOOKUP(B8,products[Product_ID],products[Reorder_Point],0),"Reorder","In Stock")</f>
        <v>In Stock</v>
      </c>
    </row>
    <row r="9" spans="1:8">
      <c r="A9" s="4" t="s">
        <v>117</v>
      </c>
      <c r="B9" s="4" t="s">
        <v>34</v>
      </c>
      <c r="C9" s="2">
        <v>150</v>
      </c>
      <c r="D9" s="2">
        <v>60</v>
      </c>
      <c r="E9" s="2">
        <v>80</v>
      </c>
      <c r="F9">
        <f t="shared" si="0"/>
        <v>130</v>
      </c>
      <c r="G9">
        <f>F9*_xlfn.XLOOKUP(B9,products[Product_ID],products[Unit_Cost])</f>
        <v>156000</v>
      </c>
      <c r="H9" t="str">
        <f>IF(F9&lt;=_xlfn.XLOOKUP(B9,products[Product_ID],products[Reorder_Point],0),"Reorder","In Stock")</f>
        <v>In Stock</v>
      </c>
    </row>
    <row r="10" spans="1:8">
      <c r="A10" s="4" t="s">
        <v>118</v>
      </c>
      <c r="B10" s="4" t="s">
        <v>37</v>
      </c>
      <c r="C10" s="2">
        <v>110</v>
      </c>
      <c r="D10" s="2">
        <v>45</v>
      </c>
      <c r="E10" s="2">
        <v>50</v>
      </c>
      <c r="F10">
        <f t="shared" si="0"/>
        <v>105</v>
      </c>
      <c r="G10">
        <f>F10*_xlfn.XLOOKUP(B10,products[Product_ID],products[Unit_Cost])</f>
        <v>157500</v>
      </c>
      <c r="H10" t="str">
        <f>IF(F10&lt;=_xlfn.XLOOKUP(B10,products[Product_ID],products[Reorder_Point],0),"Reorder","In Stock")</f>
        <v>In Stock</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4AAFC-1855-4F91-AB48-F112843CB0F2}">
  <dimension ref="A1:I11"/>
  <sheetViews>
    <sheetView workbookViewId="0">
      <selection activeCell="D7" sqref="D7"/>
    </sheetView>
  </sheetViews>
  <sheetFormatPr defaultRowHeight="14.5"/>
  <cols>
    <col min="1" max="1" width="15.453125" customWidth="1"/>
    <col min="2" max="2" width="12.1796875" customWidth="1"/>
    <col min="3" max="3" width="13.6328125" customWidth="1"/>
    <col min="4" max="4" width="12" customWidth="1"/>
    <col min="5" max="5" width="10" customWidth="1"/>
    <col min="6" max="6" width="13.6328125" customWidth="1"/>
    <col min="7" max="7" width="12.26953125" customWidth="1"/>
    <col min="8" max="8" width="13.6328125" customWidth="1"/>
  </cols>
  <sheetData>
    <row r="1" spans="1:9">
      <c r="A1" s="1" t="s">
        <v>119</v>
      </c>
      <c r="B1" s="1" t="s">
        <v>88</v>
      </c>
      <c r="C1" s="1" t="s">
        <v>55</v>
      </c>
      <c r="D1" s="1" t="s">
        <v>7</v>
      </c>
      <c r="E1" s="1" t="s">
        <v>89</v>
      </c>
      <c r="F1" s="1" t="s">
        <v>4</v>
      </c>
      <c r="G1" s="1" t="s">
        <v>123</v>
      </c>
      <c r="H1" s="1" t="s">
        <v>124</v>
      </c>
      <c r="I1" s="1"/>
    </row>
    <row r="2" spans="1:9">
      <c r="A2" s="4" t="s">
        <v>125</v>
      </c>
      <c r="B2" s="5">
        <v>46059</v>
      </c>
      <c r="C2" s="4" t="s">
        <v>59</v>
      </c>
      <c r="D2" s="4" t="s">
        <v>9</v>
      </c>
      <c r="E2" s="4">
        <v>5</v>
      </c>
      <c r="F2" s="4">
        <f>_xlfn.XLOOKUP(D2,products[Product_ID],products[Selling_Price])</f>
        <v>55000</v>
      </c>
      <c r="G2" s="4">
        <f>E2*F2</f>
        <v>275000</v>
      </c>
      <c r="H2" s="4" t="s">
        <v>94</v>
      </c>
    </row>
    <row r="3" spans="1:9">
      <c r="A3" s="4" t="s">
        <v>126</v>
      </c>
      <c r="B3" s="5">
        <v>46087</v>
      </c>
      <c r="C3" s="4" t="s">
        <v>63</v>
      </c>
      <c r="D3" s="4" t="s">
        <v>13</v>
      </c>
      <c r="E3" s="4">
        <v>10</v>
      </c>
      <c r="F3" s="4">
        <f>_xlfn.XLOOKUP(D3,products[Product_ID],products[Selling_Price])</f>
        <v>25000</v>
      </c>
      <c r="G3" s="4">
        <f t="shared" ref="G3:G11" si="0">E3*F3</f>
        <v>250000</v>
      </c>
      <c r="H3" s="4" t="s">
        <v>94</v>
      </c>
    </row>
    <row r="4" spans="1:9">
      <c r="A4" s="4" t="s">
        <v>127</v>
      </c>
      <c r="B4" s="5">
        <v>46118</v>
      </c>
      <c r="C4" s="4" t="s">
        <v>66</v>
      </c>
      <c r="D4" s="4" t="s">
        <v>15</v>
      </c>
      <c r="E4" s="4">
        <v>25</v>
      </c>
      <c r="F4" s="4">
        <f>_xlfn.XLOOKUP(D4,products[Product_ID],products[Selling_Price])</f>
        <v>1200</v>
      </c>
      <c r="G4" s="4">
        <f t="shared" si="0"/>
        <v>30000</v>
      </c>
      <c r="H4" s="4" t="s">
        <v>94</v>
      </c>
    </row>
    <row r="5" spans="1:9">
      <c r="A5" s="4" t="s">
        <v>128</v>
      </c>
      <c r="B5" s="5">
        <v>46148</v>
      </c>
      <c r="C5" s="4" t="s">
        <v>68</v>
      </c>
      <c r="D5" s="4" t="s">
        <v>19</v>
      </c>
      <c r="E5" s="4">
        <v>30</v>
      </c>
      <c r="F5" s="4">
        <f>_xlfn.XLOOKUP(D5,products[Product_ID],products[Selling_Price])</f>
        <v>800</v>
      </c>
      <c r="G5" s="4">
        <f t="shared" si="0"/>
        <v>24000</v>
      </c>
      <c r="H5" s="4" t="s">
        <v>98</v>
      </c>
    </row>
    <row r="6" spans="1:9">
      <c r="A6" s="4" t="s">
        <v>129</v>
      </c>
      <c r="B6" s="5">
        <v>46179</v>
      </c>
      <c r="C6" s="4" t="s">
        <v>72</v>
      </c>
      <c r="D6" s="4" t="s">
        <v>21</v>
      </c>
      <c r="E6" s="4">
        <v>6</v>
      </c>
      <c r="F6" s="4">
        <f>_xlfn.XLOOKUP(D6,products[Product_ID],products[Selling_Price])</f>
        <v>13000</v>
      </c>
      <c r="G6" s="4">
        <f t="shared" si="0"/>
        <v>78000</v>
      </c>
      <c r="H6" s="4" t="s">
        <v>94</v>
      </c>
    </row>
    <row r="7" spans="1:9">
      <c r="A7" s="4" t="s">
        <v>130</v>
      </c>
      <c r="B7" s="5">
        <v>46209</v>
      </c>
      <c r="C7" s="4" t="s">
        <v>74</v>
      </c>
      <c r="D7" s="4" t="s">
        <v>24</v>
      </c>
      <c r="E7" s="4">
        <v>8</v>
      </c>
      <c r="F7" s="4">
        <f>_xlfn.XLOOKUP(D7,products[Product_ID],products[Selling_Price])</f>
        <v>9500</v>
      </c>
      <c r="G7" s="4">
        <f t="shared" si="0"/>
        <v>76000</v>
      </c>
      <c r="H7" s="4" t="s">
        <v>94</v>
      </c>
    </row>
    <row r="8" spans="1:9">
      <c r="A8" s="4" t="s">
        <v>131</v>
      </c>
      <c r="B8" s="5">
        <v>46240</v>
      </c>
      <c r="C8" s="4" t="s">
        <v>76</v>
      </c>
      <c r="D8" s="4" t="s">
        <v>27</v>
      </c>
      <c r="E8" s="4">
        <v>12</v>
      </c>
      <c r="F8" s="4">
        <f>_xlfn.XLOOKUP(D8,products[Product_ID],products[Selling_Price])</f>
        <v>4200</v>
      </c>
      <c r="G8" s="4">
        <f t="shared" si="0"/>
        <v>50400</v>
      </c>
      <c r="H8" s="4" t="s">
        <v>132</v>
      </c>
    </row>
    <row r="9" spans="1:9">
      <c r="A9" s="4" t="s">
        <v>133</v>
      </c>
      <c r="B9" s="5">
        <v>46271</v>
      </c>
      <c r="C9" s="4" t="s">
        <v>79</v>
      </c>
      <c r="D9" s="4" t="s">
        <v>31</v>
      </c>
      <c r="E9" s="4">
        <v>9</v>
      </c>
      <c r="F9" s="4">
        <f>_xlfn.XLOOKUP(D9,products[Product_ID],products[Selling_Price])</f>
        <v>6500</v>
      </c>
      <c r="G9" s="4">
        <f t="shared" si="0"/>
        <v>58500</v>
      </c>
      <c r="H9" s="4" t="s">
        <v>94</v>
      </c>
    </row>
    <row r="10" spans="1:9">
      <c r="A10" s="4" t="s">
        <v>134</v>
      </c>
      <c r="B10" s="5">
        <v>46301</v>
      </c>
      <c r="C10" s="4" t="s">
        <v>81</v>
      </c>
      <c r="D10" s="4" t="s">
        <v>34</v>
      </c>
      <c r="E10" s="4">
        <v>20</v>
      </c>
      <c r="F10" s="4">
        <f>_xlfn.XLOOKUP(D10,products[Product_ID],products[Selling_Price])</f>
        <v>2200</v>
      </c>
      <c r="G10" s="4">
        <f t="shared" si="0"/>
        <v>44000</v>
      </c>
      <c r="H10" s="4" t="s">
        <v>94</v>
      </c>
    </row>
    <row r="11" spans="1:9">
      <c r="A11" s="4" t="s">
        <v>135</v>
      </c>
      <c r="B11" s="5">
        <v>46332</v>
      </c>
      <c r="C11" s="4" t="s">
        <v>85</v>
      </c>
      <c r="D11" s="4" t="s">
        <v>37</v>
      </c>
      <c r="E11" s="4">
        <v>15</v>
      </c>
      <c r="F11" s="4">
        <f>_xlfn.XLOOKUP(D11,products[Product_ID],products[Selling_Price])</f>
        <v>2800</v>
      </c>
      <c r="G11" s="4">
        <f t="shared" si="0"/>
        <v>42000</v>
      </c>
      <c r="H11" s="4" t="s">
        <v>98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5D9C8-DB0A-4905-BD21-ACF6D81D01CB}">
  <dimension ref="A1:J11"/>
  <sheetViews>
    <sheetView workbookViewId="0">
      <selection activeCell="I1" sqref="I1"/>
    </sheetView>
  </sheetViews>
  <sheetFormatPr defaultRowHeight="14.5"/>
  <cols>
    <col min="1" max="1" width="13.6328125" customWidth="1"/>
    <col min="2" max="2" width="15.453125" customWidth="1"/>
    <col min="3" max="3" width="13.6328125" customWidth="1"/>
    <col min="4" max="4" width="12" customWidth="1"/>
    <col min="5" max="5" width="11.36328125" customWidth="1"/>
    <col min="6" max="6" width="14.36328125" customWidth="1"/>
    <col min="8" max="8" width="14.90625" customWidth="1"/>
    <col min="9" max="9" width="15.81640625" customWidth="1"/>
    <col min="10" max="10" width="14" customWidth="1"/>
  </cols>
  <sheetData>
    <row r="1" spans="1:10">
      <c r="A1" s="1" t="s">
        <v>151</v>
      </c>
      <c r="B1" s="1" t="s">
        <v>119</v>
      </c>
      <c r="C1" s="1" t="s">
        <v>55</v>
      </c>
      <c r="D1" s="1" t="s">
        <v>7</v>
      </c>
      <c r="E1" s="1" t="s">
        <v>152</v>
      </c>
      <c r="F1" s="1" t="s">
        <v>153</v>
      </c>
      <c r="G1" s="1" t="s">
        <v>154</v>
      </c>
      <c r="H1" s="1" t="s">
        <v>155</v>
      </c>
      <c r="I1" s="1" t="s">
        <v>156</v>
      </c>
      <c r="J1" s="13" t="s">
        <v>172</v>
      </c>
    </row>
    <row r="2" spans="1:10">
      <c r="A2" s="4" t="s">
        <v>157</v>
      </c>
      <c r="B2" s="4" t="s">
        <v>125</v>
      </c>
      <c r="C2" s="4" t="s">
        <v>59</v>
      </c>
      <c r="D2" s="4" t="s">
        <v>9</v>
      </c>
      <c r="E2" s="5">
        <v>45659</v>
      </c>
      <c r="F2" s="5">
        <v>45662</v>
      </c>
      <c r="G2" s="4" t="s">
        <v>158</v>
      </c>
      <c r="H2" s="4">
        <v>450</v>
      </c>
      <c r="I2" s="4" t="s">
        <v>94</v>
      </c>
      <c r="J2">
        <f>F2-E2</f>
        <v>3</v>
      </c>
    </row>
    <row r="3" spans="1:10">
      <c r="A3" s="4" t="s">
        <v>159</v>
      </c>
      <c r="B3" s="4" t="s">
        <v>126</v>
      </c>
      <c r="C3" s="4" t="s">
        <v>63</v>
      </c>
      <c r="D3" s="4" t="s">
        <v>13</v>
      </c>
      <c r="E3" s="5">
        <v>45660</v>
      </c>
      <c r="F3" s="5">
        <v>45664</v>
      </c>
      <c r="G3" s="4" t="s">
        <v>160</v>
      </c>
      <c r="H3" s="4">
        <v>520</v>
      </c>
      <c r="I3" s="4" t="s">
        <v>94</v>
      </c>
      <c r="J3">
        <f t="shared" ref="J3:J11" si="0">F3-E3</f>
        <v>4</v>
      </c>
    </row>
    <row r="4" spans="1:10">
      <c r="A4" s="4" t="s">
        <v>161</v>
      </c>
      <c r="B4" s="4" t="s">
        <v>127</v>
      </c>
      <c r="C4" s="4" t="s">
        <v>66</v>
      </c>
      <c r="D4" s="4" t="s">
        <v>15</v>
      </c>
      <c r="E4" s="5">
        <v>45661</v>
      </c>
      <c r="F4" s="5">
        <v>45663</v>
      </c>
      <c r="G4" s="4" t="s">
        <v>162</v>
      </c>
      <c r="H4" s="4">
        <v>390</v>
      </c>
      <c r="I4" s="4" t="s">
        <v>94</v>
      </c>
      <c r="J4">
        <f t="shared" si="0"/>
        <v>2</v>
      </c>
    </row>
    <row r="5" spans="1:10">
      <c r="A5" s="4" t="s">
        <v>163</v>
      </c>
      <c r="B5" s="4" t="s">
        <v>128</v>
      </c>
      <c r="C5" s="4" t="s">
        <v>68</v>
      </c>
      <c r="D5" s="4" t="s">
        <v>19</v>
      </c>
      <c r="E5" s="5">
        <v>45662</v>
      </c>
      <c r="F5" s="5">
        <v>45666</v>
      </c>
      <c r="G5" s="4" t="s">
        <v>164</v>
      </c>
      <c r="H5" s="4">
        <v>610</v>
      </c>
      <c r="I5" s="4" t="s">
        <v>103</v>
      </c>
      <c r="J5">
        <f t="shared" si="0"/>
        <v>4</v>
      </c>
    </row>
    <row r="6" spans="1:10">
      <c r="A6" s="4" t="s">
        <v>165</v>
      </c>
      <c r="B6" s="4" t="s">
        <v>129</v>
      </c>
      <c r="C6" s="4" t="s">
        <v>72</v>
      </c>
      <c r="D6" s="4" t="s">
        <v>21</v>
      </c>
      <c r="E6" s="5">
        <v>45663</v>
      </c>
      <c r="F6" s="5">
        <v>45665</v>
      </c>
      <c r="G6" s="4" t="s">
        <v>158</v>
      </c>
      <c r="H6" s="4">
        <v>430</v>
      </c>
      <c r="I6" s="4" t="s">
        <v>94</v>
      </c>
      <c r="J6">
        <f t="shared" si="0"/>
        <v>2</v>
      </c>
    </row>
    <row r="7" spans="1:10">
      <c r="A7" s="4" t="s">
        <v>166</v>
      </c>
      <c r="B7" s="4" t="s">
        <v>130</v>
      </c>
      <c r="C7" s="4" t="s">
        <v>74</v>
      </c>
      <c r="D7" s="4" t="s">
        <v>24</v>
      </c>
      <c r="E7" s="5">
        <v>45664</v>
      </c>
      <c r="F7" s="5">
        <v>45668</v>
      </c>
      <c r="G7" s="4" t="s">
        <v>160</v>
      </c>
      <c r="H7" s="4">
        <v>580</v>
      </c>
      <c r="I7" s="4" t="s">
        <v>167</v>
      </c>
      <c r="J7">
        <f t="shared" si="0"/>
        <v>4</v>
      </c>
    </row>
    <row r="8" spans="1:10">
      <c r="A8" s="4" t="s">
        <v>168</v>
      </c>
      <c r="B8" s="4" t="s">
        <v>131</v>
      </c>
      <c r="C8" s="4" t="s">
        <v>76</v>
      </c>
      <c r="D8" s="4" t="s">
        <v>27</v>
      </c>
      <c r="E8" s="5">
        <v>45665</v>
      </c>
      <c r="F8" s="5">
        <v>45667</v>
      </c>
      <c r="G8" s="4" t="s">
        <v>162</v>
      </c>
      <c r="H8" s="4">
        <v>370</v>
      </c>
      <c r="I8" s="4" t="s">
        <v>94</v>
      </c>
      <c r="J8">
        <f t="shared" si="0"/>
        <v>2</v>
      </c>
    </row>
    <row r="9" spans="1:10">
      <c r="A9" s="4" t="s">
        <v>169</v>
      </c>
      <c r="B9" s="4" t="s">
        <v>133</v>
      </c>
      <c r="C9" s="4" t="s">
        <v>79</v>
      </c>
      <c r="D9" s="4" t="s">
        <v>31</v>
      </c>
      <c r="E9" s="5">
        <v>45666</v>
      </c>
      <c r="F9" s="5">
        <v>45669</v>
      </c>
      <c r="G9" s="4" t="s">
        <v>164</v>
      </c>
      <c r="H9" s="4">
        <v>550</v>
      </c>
      <c r="I9" s="4" t="s">
        <v>94</v>
      </c>
      <c r="J9">
        <f t="shared" si="0"/>
        <v>3</v>
      </c>
    </row>
    <row r="10" spans="1:10">
      <c r="A10" s="4" t="s">
        <v>170</v>
      </c>
      <c r="B10" s="4" t="s">
        <v>134</v>
      </c>
      <c r="C10" s="4" t="s">
        <v>81</v>
      </c>
      <c r="D10" s="4" t="s">
        <v>34</v>
      </c>
      <c r="E10" s="5">
        <v>45667</v>
      </c>
      <c r="F10" s="5">
        <v>45671</v>
      </c>
      <c r="G10" s="4" t="s">
        <v>158</v>
      </c>
      <c r="H10" s="4">
        <v>470</v>
      </c>
      <c r="I10" s="4" t="s">
        <v>103</v>
      </c>
      <c r="J10">
        <f>F10-E10</f>
        <v>4</v>
      </c>
    </row>
    <row r="11" spans="1:10">
      <c r="A11" s="4" t="s">
        <v>171</v>
      </c>
      <c r="B11" s="4" t="s">
        <v>135</v>
      </c>
      <c r="C11" s="4" t="s">
        <v>85</v>
      </c>
      <c r="D11" s="4" t="s">
        <v>37</v>
      </c>
      <c r="E11" s="5">
        <v>45668</v>
      </c>
      <c r="F11" s="5">
        <v>45672</v>
      </c>
      <c r="G11" s="4" t="s">
        <v>160</v>
      </c>
      <c r="H11" s="4">
        <v>620</v>
      </c>
      <c r="I11" s="4" t="s">
        <v>94</v>
      </c>
      <c r="J11">
        <f t="shared" si="0"/>
        <v>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B6296-5744-404B-B435-017D34589A9D}">
  <dimension ref="A1:B42"/>
  <sheetViews>
    <sheetView topLeftCell="A36" zoomScale="66" zoomScaleNormal="74" workbookViewId="0">
      <selection activeCell="B26" sqref="B26"/>
    </sheetView>
  </sheetViews>
  <sheetFormatPr defaultRowHeight="14.5"/>
  <cols>
    <col min="1" max="1" width="27" customWidth="1"/>
    <col min="2" max="2" width="44.36328125" customWidth="1"/>
  </cols>
  <sheetData>
    <row r="1" spans="1:2">
      <c r="A1" s="1" t="s">
        <v>176</v>
      </c>
      <c r="B1" s="1" t="s">
        <v>177</v>
      </c>
    </row>
    <row r="2" spans="1:2">
      <c r="A2" s="1"/>
      <c r="B2" s="1"/>
    </row>
    <row r="3" spans="1:2">
      <c r="A3" s="16" t="s">
        <v>205</v>
      </c>
      <c r="B3" s="16"/>
    </row>
    <row r="4" spans="1:2">
      <c r="A4" s="1"/>
      <c r="B4" s="1"/>
    </row>
    <row r="5" spans="1:2">
      <c r="A5" s="4" t="s">
        <v>138</v>
      </c>
      <c r="B5" s="12">
        <f>SUM(Table5[Total_Sales])</f>
        <v>927900</v>
      </c>
    </row>
    <row r="6" spans="1:2">
      <c r="A6" s="4" t="s">
        <v>178</v>
      </c>
      <c r="B6" s="14" t="str">
        <f>_xlfn.XLOOKUP(Pivot_Tables!I18,products[Product_ID],products[Product_Name])</f>
        <v>Mouse</v>
      </c>
    </row>
    <row r="7" spans="1:2">
      <c r="A7" s="4" t="s">
        <v>179</v>
      </c>
      <c r="B7" s="14" t="str">
        <f>_xlfn.XLOOKUP(Pivot_Tables!A4,products[Product_ID],products[Product_Name])</f>
        <v>Laptop</v>
      </c>
    </row>
    <row r="8" spans="1:2">
      <c r="A8" s="4" t="s">
        <v>180</v>
      </c>
      <c r="B8" s="14" t="str">
        <f>_xlfn.XLOOKUP(Pivot_Tables!M4,Customers[Customer_ID],Customers[Customer_Name])</f>
        <v>Reliance Digital</v>
      </c>
    </row>
    <row r="9" spans="1:2">
      <c r="A9" s="4" t="s">
        <v>181</v>
      </c>
      <c r="B9" s="4">
        <f>COUNTA(Table5[Sales_Order_ID])</f>
        <v>10</v>
      </c>
    </row>
    <row r="10" spans="1:2">
      <c r="A10" s="4" t="s">
        <v>182</v>
      </c>
      <c r="B10" s="4">
        <f>AVERAGE(Table5[Total_Sales])</f>
        <v>92790</v>
      </c>
    </row>
    <row r="11" spans="1:2">
      <c r="A11" s="4"/>
      <c r="B11" s="4"/>
    </row>
    <row r="12" spans="1:2">
      <c r="A12" s="16" t="s">
        <v>206</v>
      </c>
      <c r="B12" s="16"/>
    </row>
    <row r="13" spans="1:2">
      <c r="A13" s="1"/>
      <c r="B13" s="1"/>
    </row>
    <row r="14" spans="1:2">
      <c r="A14" s="4" t="s">
        <v>137</v>
      </c>
      <c r="B14" s="12">
        <f>SUM(Table6[Total_Cost])</f>
        <v>2359000</v>
      </c>
    </row>
    <row r="15" spans="1:2">
      <c r="A15" s="4" t="s">
        <v>183</v>
      </c>
      <c r="B15" s="14" t="str">
        <f>_xlfn.XLOOKUP(Pivot_Tables!E4,Suppliers[Supplier_ID],Suppliers[Supplier_Name])</f>
        <v>TechSource Ltd</v>
      </c>
    </row>
    <row r="16" spans="1:2">
      <c r="A16" s="4" t="s">
        <v>184</v>
      </c>
      <c r="B16" s="4">
        <f>COUNTA(Table6[Purchase_Order_ID])</f>
        <v>10</v>
      </c>
    </row>
    <row r="17" spans="1:2">
      <c r="A17" s="4" t="s">
        <v>185</v>
      </c>
      <c r="B17" s="4">
        <f>AVERAGE(Suppliers[Lead_Time_Days])</f>
        <v>8.1999999999999993</v>
      </c>
    </row>
    <row r="18" spans="1:2">
      <c r="A18" s="4" t="s">
        <v>186</v>
      </c>
      <c r="B18" s="14" t="str">
        <f>_xlfn.XLOOKUP(MAX(Suppliers[Rating]),Suppliers[Rating],Suppliers[Supplier_Name])</f>
        <v>TechSource Ltd</v>
      </c>
    </row>
    <row r="19" spans="1:2">
      <c r="A19" s="4"/>
      <c r="B19" s="4"/>
    </row>
    <row r="20" spans="1:2">
      <c r="A20" s="16" t="s">
        <v>207</v>
      </c>
      <c r="B20" s="16"/>
    </row>
    <row r="21" spans="1:2">
      <c r="A21" s="1"/>
      <c r="B21" s="1"/>
    </row>
    <row r="22" spans="1:2">
      <c r="A22" s="4" t="s">
        <v>187</v>
      </c>
      <c r="B22" s="4">
        <f>SUM(Table4[Inventory_Value])</f>
        <v>3647000</v>
      </c>
    </row>
    <row r="23" spans="1:2">
      <c r="A23" s="4" t="s">
        <v>188</v>
      </c>
      <c r="B23" s="4">
        <f>COUNTIF(Table4[Stock_Status],"Reorder")</f>
        <v>1</v>
      </c>
    </row>
    <row r="24" spans="1:2">
      <c r="A24" s="4" t="s">
        <v>189</v>
      </c>
      <c r="B24" s="4">
        <f>COUNTIF(Table4[Stock_Status],"In Stock")</f>
        <v>8</v>
      </c>
    </row>
    <row r="25" spans="1:2">
      <c r="A25" s="4" t="s">
        <v>190</v>
      </c>
      <c r="B25" s="14" t="str">
        <f>_xlfn.XLOOKUP(Pivot_Tables!A25,products[Product_ID],products[Product_Name])</f>
        <v>Smartphone</v>
      </c>
    </row>
    <row r="26" spans="1:2">
      <c r="A26" s="4" t="s">
        <v>191</v>
      </c>
      <c r="B26" s="15">
        <f>AVERAGE(Table4[Current_Stock])</f>
        <v>124.44444444444444</v>
      </c>
    </row>
    <row r="27" spans="1:2">
      <c r="A27" s="4"/>
      <c r="B27" s="4"/>
    </row>
    <row r="28" spans="1:2">
      <c r="A28" s="16" t="s">
        <v>208</v>
      </c>
      <c r="B28" s="16"/>
    </row>
    <row r="29" spans="1:2">
      <c r="A29" s="1"/>
      <c r="B29" s="1"/>
    </row>
    <row r="30" spans="1:2">
      <c r="A30" s="4" t="s">
        <v>173</v>
      </c>
      <c r="B30" s="4">
        <f>SUM(Table7[Shipping_Cost])</f>
        <v>4990</v>
      </c>
    </row>
    <row r="31" spans="1:2">
      <c r="A31" s="4" t="s">
        <v>174</v>
      </c>
      <c r="B31" s="4">
        <f>AVERAGE(Table7[Transit_Days.])</f>
        <v>3.2</v>
      </c>
    </row>
    <row r="32" spans="1:2">
      <c r="A32" s="4" t="s">
        <v>192</v>
      </c>
      <c r="B32" s="14">
        <f>Pivot_Tables!B18</f>
        <v>1</v>
      </c>
    </row>
    <row r="33" spans="1:2">
      <c r="A33" s="4" t="s">
        <v>193</v>
      </c>
      <c r="B33" s="14">
        <f>Pivot_Tables!B19</f>
        <v>7</v>
      </c>
    </row>
    <row r="34" spans="1:2">
      <c r="A34" s="4" t="s">
        <v>194</v>
      </c>
      <c r="B34" s="14" t="str">
        <f>Pivot_Tables!M18</f>
        <v>FedEx</v>
      </c>
    </row>
    <row r="35" spans="1:2">
      <c r="A35" s="4"/>
      <c r="B35" s="4"/>
    </row>
    <row r="36" spans="1:2" ht="29" customHeight="1">
      <c r="A36" s="16" t="s">
        <v>209</v>
      </c>
      <c r="B36" s="16"/>
    </row>
    <row r="37" spans="1:2" ht="29" customHeight="1">
      <c r="A37" s="1"/>
      <c r="B37" s="1"/>
    </row>
    <row r="38" spans="1:2" ht="29">
      <c r="A38" s="4" t="s">
        <v>195</v>
      </c>
      <c r="B38" s="4" t="s">
        <v>196</v>
      </c>
    </row>
    <row r="39" spans="1:2" ht="29">
      <c r="A39" s="4" t="s">
        <v>197</v>
      </c>
      <c r="B39" s="4" t="s">
        <v>198</v>
      </c>
    </row>
    <row r="40" spans="1:2" ht="29">
      <c r="A40" s="4" t="s">
        <v>199</v>
      </c>
      <c r="B40" s="4" t="s">
        <v>200</v>
      </c>
    </row>
    <row r="41" spans="1:2" ht="29">
      <c r="A41" s="4" t="s">
        <v>201</v>
      </c>
      <c r="B41" s="4" t="s">
        <v>202</v>
      </c>
    </row>
    <row r="42" spans="1:2" ht="43.5">
      <c r="A42" s="4" t="s">
        <v>203</v>
      </c>
      <c r="B42" s="4" t="s">
        <v>204</v>
      </c>
    </row>
  </sheetData>
  <mergeCells count="5">
    <mergeCell ref="A3:B3"/>
    <mergeCell ref="A12:B12"/>
    <mergeCell ref="A20:B20"/>
    <mergeCell ref="A28:B28"/>
    <mergeCell ref="A36:B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Pivot_Tables</vt:lpstr>
      <vt:lpstr>Products</vt:lpstr>
      <vt:lpstr>Suppliers</vt:lpstr>
      <vt:lpstr>Customers</vt:lpstr>
      <vt:lpstr>Purchase_Orders</vt:lpstr>
      <vt:lpstr>Inventory</vt:lpstr>
      <vt:lpstr>Sales_Orders</vt:lpstr>
      <vt:lpstr>Shipments</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Sharma</dc:creator>
  <cp:lastModifiedBy>Vijay Sharma</cp:lastModifiedBy>
  <dcterms:created xsi:type="dcterms:W3CDTF">2026-06-27T06:06:24Z</dcterms:created>
  <dcterms:modified xsi:type="dcterms:W3CDTF">2026-07-04T09:01:58Z</dcterms:modified>
</cp:coreProperties>
</file>